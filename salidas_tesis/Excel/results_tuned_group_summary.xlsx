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la\Documents\Tesis\salidas_tesis\Excel\"/>
    </mc:Choice>
  </mc:AlternateContent>
  <xr:revisionPtr revIDLastSave="0" documentId="13_ncr:1_{A5AC76AE-756A-44AD-A455-F00CD6FA1491}" xr6:coauthVersionLast="47" xr6:coauthVersionMax="47" xr10:uidLastSave="{00000000-0000-0000-0000-000000000000}"/>
  <bookViews>
    <workbookView xWindow="-120" yWindow="-120" windowWidth="38640" windowHeight="21120" activeTab="2" xr2:uid="{68783A9C-2C48-4533-ACC1-65EDBA976E36}"/>
  </bookViews>
  <sheets>
    <sheet name="results_tuned_group_summary" sheetId="1" r:id="rId1"/>
    <sheet name="CP" sheetId="2" r:id="rId2"/>
    <sheet name="C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E11" i="3"/>
  <c r="D15" i="3" s="1"/>
  <c r="D11" i="3"/>
  <c r="C11" i="3"/>
  <c r="C15" i="3" s="1"/>
  <c r="F10" i="3"/>
  <c r="E10" i="3"/>
  <c r="D14" i="3" s="1"/>
  <c r="D10" i="3"/>
  <c r="C10" i="3"/>
  <c r="F11" i="2"/>
  <c r="J11" i="2"/>
  <c r="I11" i="2"/>
  <c r="F15" i="2" s="1"/>
  <c r="H11" i="2"/>
  <c r="G11" i="2"/>
  <c r="E15" i="2" s="1"/>
  <c r="E11" i="2"/>
  <c r="D15" i="2" s="1"/>
  <c r="D11" i="2"/>
  <c r="C11" i="2"/>
  <c r="C15" i="2" s="1"/>
  <c r="J10" i="2"/>
  <c r="I10" i="2"/>
  <c r="F14" i="2" s="1"/>
  <c r="H10" i="2"/>
  <c r="G10" i="2"/>
  <c r="E14" i="2" s="1"/>
  <c r="F10" i="2"/>
  <c r="E10" i="2"/>
  <c r="D14" i="2" s="1"/>
  <c r="D10" i="2"/>
  <c r="C10" i="2"/>
  <c r="C14" i="2" s="1"/>
  <c r="J11" i="1"/>
  <c r="I11" i="1"/>
  <c r="F16" i="1" s="1"/>
  <c r="H11" i="1"/>
  <c r="G11" i="1"/>
  <c r="E16" i="1" s="1"/>
  <c r="F11" i="1"/>
  <c r="E11" i="1"/>
  <c r="D16" i="1" s="1"/>
  <c r="D11" i="1"/>
  <c r="C11" i="1"/>
  <c r="C16" i="1" s="1"/>
  <c r="J10" i="1"/>
  <c r="I10" i="1"/>
  <c r="F15" i="1" s="1"/>
  <c r="H10" i="1"/>
  <c r="G10" i="1"/>
  <c r="E15" i="1" s="1"/>
  <c r="F10" i="1"/>
  <c r="E10" i="1"/>
  <c r="D15" i="1" s="1"/>
  <c r="D10" i="1"/>
  <c r="C10" i="1"/>
  <c r="C15" i="1" s="1"/>
  <c r="C14" i="3" l="1"/>
</calcChain>
</file>

<file path=xl/sharedStrings.xml><?xml version="1.0" encoding="utf-8"?>
<sst xmlns="http://schemas.openxmlformats.org/spreadsheetml/2006/main" count="179" uniqueCount="33">
  <si>
    <t>config</t>
  </si>
  <si>
    <t>group</t>
  </si>
  <si>
    <t>balanced_accuracy_mean</t>
  </si>
  <si>
    <t>balanced_accuracy_std</t>
  </si>
  <si>
    <t>balanced_accuracy_median</t>
  </si>
  <si>
    <t>precision_mean</t>
  </si>
  <si>
    <t>precision_std</t>
  </si>
  <si>
    <t>precision_median</t>
  </si>
  <si>
    <t>recall_mean</t>
  </si>
  <si>
    <t>recall_std</t>
  </si>
  <si>
    <t>recall_median</t>
  </si>
  <si>
    <t>f1_mean</t>
  </si>
  <si>
    <t>f1_std</t>
  </si>
  <si>
    <t>f1_median</t>
  </si>
  <si>
    <t>roc_auc_mean</t>
  </si>
  <si>
    <t>roc_auc_std</t>
  </si>
  <si>
    <t>roc_auc_median</t>
  </si>
  <si>
    <t>average_precision_mean</t>
  </si>
  <si>
    <t>average_precision_std</t>
  </si>
  <si>
    <t>average_precision_median</t>
  </si>
  <si>
    <t>n_seeds</t>
  </si>
  <si>
    <t>Tuned</t>
  </si>
  <si>
    <t>Ensemble</t>
  </si>
  <si>
    <t>No Ensemble</t>
  </si>
  <si>
    <t>Grupo</t>
  </si>
  <si>
    <t>BA (mean ± std)</t>
  </si>
  <si>
    <t>F1 (mean ± std)</t>
  </si>
  <si>
    <t>AP (mean ± std)</t>
  </si>
  <si>
    <t>ROC AUC (mean ± std)</t>
  </si>
  <si>
    <t>Configuración</t>
  </si>
  <si>
    <t>Precision (mean ± std)</t>
  </si>
  <si>
    <t>Recall (mean ± std)</t>
  </si>
  <si>
    <t>ROC AUC(mean ± 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</si>
</sst>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1909-5E51-4895-AB8A-7D8F4237F037}">
  <dimension ref="A1:U16"/>
  <sheetViews>
    <sheetView zoomScale="130" zoomScaleNormal="130" workbookViewId="0">
      <selection activeCell="F1" sqref="A1:XFD3"/>
    </sheetView>
  </sheetViews>
  <sheetFormatPr baseColWidth="10" defaultRowHeight="15" x14ac:dyDescent="0.25"/>
  <cols>
    <col min="1" max="1" width="6.42578125" bestFit="1" customWidth="1"/>
    <col min="2" max="2" width="12.5703125" bestFit="1" customWidth="1"/>
    <col min="3" max="3" width="16.7109375" customWidth="1"/>
    <col min="4" max="4" width="16.5703125" customWidth="1"/>
    <col min="5" max="5" width="16" customWidth="1"/>
    <col min="6" max="6" width="21.42578125" customWidth="1"/>
    <col min="7" max="7" width="23.140625" bestFit="1" customWidth="1"/>
    <col min="8" max="8" width="20.7109375" bestFit="1" customWidth="1"/>
    <col min="9" max="9" width="13.85546875" bestFit="1" customWidth="1"/>
    <col min="10" max="10" width="12.7109375" bestFit="1" customWidth="1"/>
    <col min="11" max="11" width="13.5703125" bestFit="1" customWidth="1"/>
    <col min="12" max="14" width="12.7109375" bestFit="1" customWidth="1"/>
    <col min="15" max="15" width="13.85546875" bestFit="1" customWidth="1"/>
    <col min="16" max="16" width="12.7109375" bestFit="1" customWidth="1"/>
    <col min="17" max="17" width="15.5703125" bestFit="1" customWidth="1"/>
    <col min="18" max="18" width="23.140625" bestFit="1" customWidth="1"/>
    <col min="19" max="19" width="20.7109375" bestFit="1" customWidth="1"/>
    <col min="20" max="20" width="24.85546875" bestFit="1" customWidth="1"/>
    <col min="21" max="21" width="8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0.76983471247985003</v>
      </c>
      <c r="D2">
        <v>3.9958731966204097E-3</v>
      </c>
      <c r="E2">
        <v>0.769234144269627</v>
      </c>
      <c r="F2">
        <v>0.247991568412537</v>
      </c>
      <c r="G2">
        <v>2.2554749665859701E-3</v>
      </c>
      <c r="H2">
        <v>0.24755019449579699</v>
      </c>
      <c r="I2">
        <v>0.69112367021276599</v>
      </c>
      <c r="J2">
        <v>9.9020147120818594E-3</v>
      </c>
      <c r="K2">
        <v>0.688663563829787</v>
      </c>
      <c r="L2">
        <v>0.36416931811212</v>
      </c>
      <c r="M2">
        <v>2.8740189474029598E-3</v>
      </c>
      <c r="N2">
        <v>0.36379124804035401</v>
      </c>
      <c r="O2">
        <v>0.85645516100183305</v>
      </c>
      <c r="P2">
        <v>2.6348671019730402E-3</v>
      </c>
      <c r="Q2">
        <v>0.85496889488997496</v>
      </c>
      <c r="R2">
        <v>0.37118049796296898</v>
      </c>
      <c r="S2">
        <v>6.7700729895543502E-3</v>
      </c>
      <c r="T2">
        <v>0.37059323710643699</v>
      </c>
      <c r="U2">
        <v>10</v>
      </c>
    </row>
    <row r="3" spans="1:21" x14ac:dyDescent="0.25">
      <c r="A3" t="s">
        <v>21</v>
      </c>
      <c r="B3" t="s">
        <v>23</v>
      </c>
      <c r="C3">
        <v>0.74815984664083202</v>
      </c>
      <c r="D3">
        <v>2.7422815436968099E-3</v>
      </c>
      <c r="E3">
        <v>0.74803196746188705</v>
      </c>
      <c r="F3">
        <v>0.18955780575740599</v>
      </c>
      <c r="G3">
        <v>3.66937295051474E-3</v>
      </c>
      <c r="H3">
        <v>0.19030064557822199</v>
      </c>
      <c r="I3">
        <v>0.71841755319148903</v>
      </c>
      <c r="J3">
        <v>1.1433654870569099E-2</v>
      </c>
      <c r="K3">
        <v>0.72185283687943202</v>
      </c>
      <c r="L3">
        <v>0.29945344373508598</v>
      </c>
      <c r="M3">
        <v>3.4559615148576301E-3</v>
      </c>
      <c r="N3">
        <v>0.300296121931446</v>
      </c>
      <c r="O3">
        <v>0.82290891733303795</v>
      </c>
      <c r="P3">
        <v>3.3315986594551301E-3</v>
      </c>
      <c r="Q3">
        <v>0.82183303062243196</v>
      </c>
      <c r="R3">
        <v>0.311183759697016</v>
      </c>
      <c r="S3">
        <v>6.0708043474245396E-3</v>
      </c>
      <c r="T3">
        <v>0.310914143244993</v>
      </c>
      <c r="U3">
        <v>10</v>
      </c>
    </row>
    <row r="5" spans="1:21" x14ac:dyDescent="0.25">
      <c r="A5" t="s">
        <v>0</v>
      </c>
      <c r="B5" t="s">
        <v>1</v>
      </c>
      <c r="C5" t="s">
        <v>2</v>
      </c>
      <c r="D5" t="s">
        <v>3</v>
      </c>
      <c r="E5" t="s">
        <v>11</v>
      </c>
      <c r="F5" t="s">
        <v>12</v>
      </c>
      <c r="G5" t="s">
        <v>17</v>
      </c>
      <c r="H5" t="s">
        <v>18</v>
      </c>
      <c r="I5" t="s">
        <v>14</v>
      </c>
      <c r="J5" t="s">
        <v>15</v>
      </c>
    </row>
    <row r="6" spans="1:21" x14ac:dyDescent="0.25">
      <c r="A6" t="s">
        <v>21</v>
      </c>
      <c r="B6" t="s">
        <v>22</v>
      </c>
      <c r="C6">
        <v>0.76983471247985003</v>
      </c>
      <c r="D6">
        <v>3.9958731966204097E-3</v>
      </c>
      <c r="E6">
        <v>0.36416931811212</v>
      </c>
      <c r="F6">
        <v>2.8740189474029598E-3</v>
      </c>
      <c r="G6">
        <v>0.37118049796296898</v>
      </c>
      <c r="H6">
        <v>6.7700729895543502E-3</v>
      </c>
      <c r="I6">
        <v>0.85645516100183305</v>
      </c>
      <c r="J6">
        <v>2.6348671019730402E-3</v>
      </c>
    </row>
    <row r="7" spans="1:21" x14ac:dyDescent="0.25">
      <c r="A7" t="s">
        <v>21</v>
      </c>
      <c r="B7" t="s">
        <v>23</v>
      </c>
      <c r="C7">
        <v>0.74815984664083202</v>
      </c>
      <c r="D7">
        <v>2.7422815436968099E-3</v>
      </c>
      <c r="E7">
        <v>0.29945344373508598</v>
      </c>
      <c r="F7">
        <v>3.4559615148576301E-3</v>
      </c>
      <c r="G7">
        <v>0.311183759697016</v>
      </c>
      <c r="H7">
        <v>6.0708043474245396E-3</v>
      </c>
      <c r="I7">
        <v>0.82290891733303795</v>
      </c>
      <c r="J7">
        <v>3.3315986594551301E-3</v>
      </c>
      <c r="K7" s="1"/>
      <c r="L7" s="1"/>
      <c r="M7" s="1"/>
      <c r="N7" s="1"/>
    </row>
    <row r="8" spans="1:21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21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11</v>
      </c>
      <c r="F9" s="1" t="s">
        <v>12</v>
      </c>
      <c r="G9" s="1" t="s">
        <v>17</v>
      </c>
      <c r="H9" s="1" t="s">
        <v>18</v>
      </c>
      <c r="I9" s="1" t="s">
        <v>14</v>
      </c>
      <c r="J9" s="1" t="s">
        <v>15</v>
      </c>
    </row>
    <row r="10" spans="1:21" x14ac:dyDescent="0.25">
      <c r="A10" s="1" t="s">
        <v>21</v>
      </c>
      <c r="B10" s="1" t="s">
        <v>22</v>
      </c>
      <c r="C10" t="str">
        <f>+FIXED(C6,4)</f>
        <v>0.7698</v>
      </c>
      <c r="D10" t="str">
        <f t="shared" ref="D10:J10" si="0">+FIXED(D6,4)</f>
        <v>0.0040</v>
      </c>
      <c r="E10" t="str">
        <f t="shared" si="0"/>
        <v>0.3642</v>
      </c>
      <c r="F10" t="str">
        <f t="shared" si="0"/>
        <v>0.0029</v>
      </c>
      <c r="G10" t="str">
        <f t="shared" si="0"/>
        <v>0.3712</v>
      </c>
      <c r="H10" t="str">
        <f t="shared" si="0"/>
        <v>0.0068</v>
      </c>
      <c r="I10" t="str">
        <f t="shared" si="0"/>
        <v>0.8565</v>
      </c>
      <c r="J10" t="str">
        <f t="shared" si="0"/>
        <v>0.0026</v>
      </c>
    </row>
    <row r="11" spans="1:21" x14ac:dyDescent="0.25">
      <c r="A11" s="1" t="s">
        <v>21</v>
      </c>
      <c r="B11" s="1" t="s">
        <v>23</v>
      </c>
      <c r="C11" t="str">
        <f t="shared" ref="C11:J11" si="1">+FIXED(C7,4)</f>
        <v>0.7482</v>
      </c>
      <c r="D11" t="str">
        <f t="shared" si="1"/>
        <v>0.0027</v>
      </c>
      <c r="E11" t="str">
        <f t="shared" si="1"/>
        <v>0.2995</v>
      </c>
      <c r="F11" t="str">
        <f t="shared" si="1"/>
        <v>0.0035</v>
      </c>
      <c r="G11" t="str">
        <f t="shared" si="1"/>
        <v>0.3112</v>
      </c>
      <c r="H11" t="str">
        <f t="shared" si="1"/>
        <v>0.0061</v>
      </c>
      <c r="I11" t="str">
        <f t="shared" si="1"/>
        <v>0.8229</v>
      </c>
      <c r="J11" t="str">
        <f t="shared" si="1"/>
        <v>0.0033</v>
      </c>
    </row>
    <row r="14" spans="1:21" ht="25.5" x14ac:dyDescent="0.25">
      <c r="A14" s="1" t="s">
        <v>0</v>
      </c>
      <c r="B14" s="2" t="s">
        <v>24</v>
      </c>
      <c r="C14" s="2" t="s">
        <v>25</v>
      </c>
      <c r="D14" s="2" t="s">
        <v>26</v>
      </c>
      <c r="E14" s="2" t="s">
        <v>27</v>
      </c>
      <c r="F14" s="3" t="s">
        <v>28</v>
      </c>
    </row>
    <row r="15" spans="1:21" x14ac:dyDescent="0.25">
      <c r="A15" s="1" t="s">
        <v>21</v>
      </c>
      <c r="B15" s="4" t="s">
        <v>22</v>
      </c>
      <c r="C15" s="4" t="str">
        <f>+_xlfn.CONCAT(C10," ± ",D10)</f>
        <v>0.7698 ± 0.0040</v>
      </c>
      <c r="D15" s="4" t="str">
        <f>+_xlfn.CONCAT(E10," ± ",F10)</f>
        <v>0.3642 ± 0.0029</v>
      </c>
      <c r="E15" s="4" t="str">
        <f>+_xlfn.CONCAT(G10," ± ",H10)</f>
        <v>0.3712 ± 0.0068</v>
      </c>
      <c r="F15" s="4" t="str">
        <f>+_xlfn.CONCAT(I10," ± ",J10)</f>
        <v>0.8565 ± 0.0026</v>
      </c>
    </row>
    <row r="16" spans="1:21" x14ac:dyDescent="0.25">
      <c r="A16" s="1" t="s">
        <v>21</v>
      </c>
      <c r="B16" s="4" t="s">
        <v>23</v>
      </c>
      <c r="C16" s="4" t="str">
        <f>+_xlfn.CONCAT(C11," ± ",D11)</f>
        <v>0.7482 ± 0.0027</v>
      </c>
      <c r="D16" s="4" t="str">
        <f>+_xlfn.CONCAT(E11," ± ",F11)</f>
        <v>0.2995 ± 0.0035</v>
      </c>
      <c r="E16" s="4" t="str">
        <f>+_xlfn.CONCAT(G11," ± ",H11)</f>
        <v>0.3112 ± 0.0061</v>
      </c>
      <c r="F16" s="4" t="str">
        <f>+_xlfn.CONCAT(I11," ± ",J11)</f>
        <v>0.8229 ± 0.0033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9211-F346-42D1-9299-45B18087570A}">
  <dimension ref="A1:U15"/>
  <sheetViews>
    <sheetView zoomScale="160" zoomScaleNormal="160" workbookViewId="0">
      <selection activeCell="D23" sqref="D23"/>
    </sheetView>
  </sheetViews>
  <sheetFormatPr baseColWidth="10" defaultRowHeight="15" x14ac:dyDescent="0.25"/>
  <cols>
    <col min="1" max="1" width="6.42578125" bestFit="1" customWidth="1"/>
    <col min="2" max="2" width="12.5703125" bestFit="1" customWidth="1"/>
    <col min="3" max="4" width="17.28515625" customWidth="1"/>
    <col min="5" max="5" width="17" customWidth="1"/>
    <col min="6" max="6" width="15.140625" bestFit="1" customWidth="1"/>
    <col min="7" max="7" width="12.85546875" bestFit="1" customWidth="1"/>
    <col min="8" max="8" width="17" bestFit="1" customWidth="1"/>
    <col min="9" max="10" width="12.7109375" bestFit="1" customWidth="1"/>
    <col min="11" max="11" width="13.5703125" bestFit="1" customWidth="1"/>
    <col min="12" max="14" width="12.7109375" bestFit="1" customWidth="1"/>
    <col min="15" max="15" width="13.85546875" bestFit="1" customWidth="1"/>
    <col min="16" max="16" width="12.7109375" bestFit="1" customWidth="1"/>
    <col min="17" max="17" width="15.5703125" bestFit="1" customWidth="1"/>
    <col min="18" max="18" width="23.140625" bestFit="1" customWidth="1"/>
    <col min="19" max="19" width="20.7109375" bestFit="1" customWidth="1"/>
    <col min="20" max="20" width="24.85546875" bestFit="1" customWidth="1"/>
    <col min="21" max="21" width="8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0.76983471247985003</v>
      </c>
      <c r="D2">
        <v>3.9958731966204097E-3</v>
      </c>
      <c r="E2">
        <v>0.769234144269627</v>
      </c>
      <c r="F2">
        <v>0.247991568412537</v>
      </c>
      <c r="G2">
        <v>2.2554749665859701E-3</v>
      </c>
      <c r="H2">
        <v>0.24755019449579699</v>
      </c>
      <c r="I2">
        <v>0.69112367021276599</v>
      </c>
      <c r="J2">
        <v>9.9020147120818594E-3</v>
      </c>
      <c r="K2">
        <v>0.688663563829787</v>
      </c>
      <c r="L2">
        <v>0.36416931811212</v>
      </c>
      <c r="M2">
        <v>2.8740189474029598E-3</v>
      </c>
      <c r="N2">
        <v>0.36379124804035401</v>
      </c>
      <c r="O2">
        <v>0.85645516100183305</v>
      </c>
      <c r="P2">
        <v>2.6348671019730402E-3</v>
      </c>
      <c r="Q2">
        <v>0.85496889488997496</v>
      </c>
      <c r="R2">
        <v>0.37118049796296898</v>
      </c>
      <c r="S2">
        <v>6.7700729895543502E-3</v>
      </c>
      <c r="T2">
        <v>0.37059323710643699</v>
      </c>
      <c r="U2">
        <v>10</v>
      </c>
    </row>
    <row r="3" spans="1:21" x14ac:dyDescent="0.25">
      <c r="A3" t="s">
        <v>21</v>
      </c>
      <c r="B3" t="s">
        <v>23</v>
      </c>
      <c r="C3">
        <v>0.74815984664083202</v>
      </c>
      <c r="D3">
        <v>2.7422815436968099E-3</v>
      </c>
      <c r="E3">
        <v>0.74803196746188705</v>
      </c>
      <c r="F3">
        <v>0.18955780575740599</v>
      </c>
      <c r="G3">
        <v>3.66937295051474E-3</v>
      </c>
      <c r="H3">
        <v>0.19030064557822199</v>
      </c>
      <c r="I3">
        <v>0.71841755319148903</v>
      </c>
      <c r="J3">
        <v>1.1433654870569099E-2</v>
      </c>
      <c r="K3">
        <v>0.72185283687943202</v>
      </c>
      <c r="L3">
        <v>0.29945344373508598</v>
      </c>
      <c r="M3">
        <v>3.4559615148576301E-3</v>
      </c>
      <c r="N3">
        <v>0.300296121931446</v>
      </c>
      <c r="O3">
        <v>0.82290891733303795</v>
      </c>
      <c r="P3">
        <v>3.3315986594551301E-3</v>
      </c>
      <c r="Q3">
        <v>0.82183303062243196</v>
      </c>
      <c r="R3">
        <v>0.311183759697016</v>
      </c>
      <c r="S3">
        <v>6.0708043474245396E-3</v>
      </c>
      <c r="T3">
        <v>0.310914143244993</v>
      </c>
      <c r="U3">
        <v>10</v>
      </c>
    </row>
    <row r="5" spans="1:21" x14ac:dyDescent="0.25">
      <c r="A5" s="1" t="s">
        <v>0</v>
      </c>
      <c r="B5" s="1" t="s">
        <v>1</v>
      </c>
      <c r="C5" t="s">
        <v>2</v>
      </c>
      <c r="D5" t="s">
        <v>3</v>
      </c>
      <c r="E5" t="s">
        <v>5</v>
      </c>
      <c r="F5" t="s">
        <v>6</v>
      </c>
      <c r="G5" t="s">
        <v>8</v>
      </c>
      <c r="H5" t="s">
        <v>9</v>
      </c>
      <c r="I5" t="s">
        <v>11</v>
      </c>
      <c r="J5" t="s">
        <v>12</v>
      </c>
    </row>
    <row r="6" spans="1:21" x14ac:dyDescent="0.25">
      <c r="A6" s="1" t="s">
        <v>21</v>
      </c>
      <c r="B6" s="1" t="s">
        <v>22</v>
      </c>
      <c r="C6">
        <v>0.76983471247985003</v>
      </c>
      <c r="D6">
        <v>3.9958731966204097E-3</v>
      </c>
      <c r="E6">
        <v>0.247991568412537</v>
      </c>
      <c r="F6">
        <v>2.2554749665859701E-3</v>
      </c>
      <c r="G6">
        <v>0.69112367021276599</v>
      </c>
      <c r="H6">
        <v>9.9020147120818594E-3</v>
      </c>
      <c r="I6">
        <v>0.36416931811212</v>
      </c>
      <c r="J6">
        <v>2.8740189474029598E-3</v>
      </c>
    </row>
    <row r="7" spans="1:21" x14ac:dyDescent="0.25">
      <c r="A7" s="1" t="s">
        <v>21</v>
      </c>
      <c r="B7" s="1" t="s">
        <v>23</v>
      </c>
      <c r="C7">
        <v>0.74815984664083202</v>
      </c>
      <c r="D7">
        <v>2.7422815436968099E-3</v>
      </c>
      <c r="E7">
        <v>0.18955780575740599</v>
      </c>
      <c r="F7">
        <v>3.66937295051474E-3</v>
      </c>
      <c r="G7">
        <v>0.71841755319148903</v>
      </c>
      <c r="H7">
        <v>1.1433654870569099E-2</v>
      </c>
      <c r="I7">
        <v>0.29945344373508598</v>
      </c>
      <c r="J7">
        <v>3.4559615148576301E-3</v>
      </c>
    </row>
    <row r="9" spans="1:21" x14ac:dyDescent="0.25">
      <c r="A9" s="1" t="s">
        <v>0</v>
      </c>
      <c r="B9" s="1" t="s">
        <v>1</v>
      </c>
      <c r="C9" t="s">
        <v>2</v>
      </c>
      <c r="D9" t="s">
        <v>3</v>
      </c>
      <c r="E9" t="s">
        <v>5</v>
      </c>
      <c r="F9" t="s">
        <v>6</v>
      </c>
      <c r="G9" t="s">
        <v>8</v>
      </c>
      <c r="H9" t="s">
        <v>9</v>
      </c>
      <c r="I9" t="s">
        <v>11</v>
      </c>
      <c r="J9" t="s">
        <v>12</v>
      </c>
    </row>
    <row r="10" spans="1:21" x14ac:dyDescent="0.25">
      <c r="A10" t="s">
        <v>21</v>
      </c>
      <c r="B10" t="s">
        <v>22</v>
      </c>
      <c r="C10" t="str">
        <f>+FIXED(C6,4)</f>
        <v>0.7698</v>
      </c>
      <c r="D10" t="str">
        <f t="shared" ref="D10:J10" si="0">+FIXED(D6,4)</f>
        <v>0.0040</v>
      </c>
      <c r="E10" t="str">
        <f t="shared" si="0"/>
        <v>0.2480</v>
      </c>
      <c r="F10" t="str">
        <f t="shared" si="0"/>
        <v>0.0023</v>
      </c>
      <c r="G10" t="str">
        <f t="shared" si="0"/>
        <v>0.6911</v>
      </c>
      <c r="H10" t="str">
        <f t="shared" si="0"/>
        <v>0.0099</v>
      </c>
      <c r="I10" t="str">
        <f t="shared" si="0"/>
        <v>0.3642</v>
      </c>
      <c r="J10" t="str">
        <f t="shared" si="0"/>
        <v>0.0029</v>
      </c>
    </row>
    <row r="11" spans="1:21" x14ac:dyDescent="0.25">
      <c r="A11" t="s">
        <v>21</v>
      </c>
      <c r="B11" t="s">
        <v>23</v>
      </c>
      <c r="C11" t="str">
        <f t="shared" ref="C11:J11" si="1">+FIXED(C7,4)</f>
        <v>0.7482</v>
      </c>
      <c r="D11" t="str">
        <f t="shared" si="1"/>
        <v>0.0027</v>
      </c>
      <c r="E11" t="str">
        <f t="shared" si="1"/>
        <v>0.1896</v>
      </c>
      <c r="F11" t="str">
        <f>+FIXED(F7,4)</f>
        <v>0.0037</v>
      </c>
      <c r="G11" t="str">
        <f t="shared" si="1"/>
        <v>0.7184</v>
      </c>
      <c r="H11" t="str">
        <f t="shared" si="1"/>
        <v>0.0114</v>
      </c>
      <c r="I11" t="str">
        <f t="shared" si="1"/>
        <v>0.2995</v>
      </c>
      <c r="J11" t="str">
        <f t="shared" si="1"/>
        <v>0.0035</v>
      </c>
    </row>
    <row r="13" spans="1:21" ht="28.5" customHeight="1" x14ac:dyDescent="0.25">
      <c r="A13" s="5" t="s">
        <v>0</v>
      </c>
      <c r="B13" s="6" t="s">
        <v>29</v>
      </c>
      <c r="C13" s="6" t="s">
        <v>25</v>
      </c>
      <c r="D13" s="6" t="s">
        <v>30</v>
      </c>
      <c r="E13" s="6" t="s">
        <v>31</v>
      </c>
      <c r="F13" s="6" t="s">
        <v>26</v>
      </c>
    </row>
    <row r="14" spans="1:21" ht="19.5" customHeight="1" x14ac:dyDescent="0.25">
      <c r="A14" s="4" t="s">
        <v>21</v>
      </c>
      <c r="B14" s="7" t="s">
        <v>22</v>
      </c>
      <c r="C14" s="7" t="str">
        <f>+_xlfn.CONCAT(C10," ± ",D10)</f>
        <v>0.7698 ± 0.0040</v>
      </c>
      <c r="D14" s="7" t="str">
        <f>+_xlfn.CONCAT(E10," ± ",F10)</f>
        <v>0.2480 ± 0.0023</v>
      </c>
      <c r="E14" s="7" t="str">
        <f>+_xlfn.CONCAT(G10," ± ",H10)</f>
        <v>0.6911 ± 0.0099</v>
      </c>
      <c r="F14" s="7" t="str">
        <f>+_xlfn.CONCAT(I10," ± ",J10)</f>
        <v>0.3642 ± 0.0029</v>
      </c>
    </row>
    <row r="15" spans="1:21" ht="20.25" customHeight="1" x14ac:dyDescent="0.25">
      <c r="A15" s="8" t="s">
        <v>21</v>
      </c>
      <c r="B15" s="9" t="s">
        <v>23</v>
      </c>
      <c r="C15" s="9" t="str">
        <f>+_xlfn.CONCAT(C11," ± ",D11)</f>
        <v>0.7482 ± 0.0027</v>
      </c>
      <c r="D15" s="9" t="str">
        <f>+_xlfn.CONCAT(E11," ± ",F11)</f>
        <v>0.1896 ± 0.0037</v>
      </c>
      <c r="E15" s="9" t="str">
        <f>+_xlfn.CONCAT(G11," ± ",H11)</f>
        <v>0.7184 ± 0.0114</v>
      </c>
      <c r="F15" s="9" t="str">
        <f>+_xlfn.CONCAT(I11," ± ",J11)</f>
        <v>0.2995 ± 0.0035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FF11-AA36-48BE-90F2-17683A8C49DC}">
  <dimension ref="A1:U15"/>
  <sheetViews>
    <sheetView tabSelected="1" topLeftCell="H1" zoomScale="160" zoomScaleNormal="160" workbookViewId="0">
      <selection activeCell="K27" sqref="A1:XFD1048576"/>
    </sheetView>
  </sheetViews>
  <sheetFormatPr baseColWidth="10" defaultRowHeight="15" x14ac:dyDescent="0.25"/>
  <cols>
    <col min="1" max="1" width="6.42578125" bestFit="1" customWidth="1"/>
    <col min="2" max="2" width="12.5703125" bestFit="1" customWidth="1"/>
    <col min="3" max="3" width="24.28515625" bestFit="1" customWidth="1"/>
    <col min="4" max="4" width="22" bestFit="1" customWidth="1"/>
    <col min="5" max="5" width="26" bestFit="1" customWidth="1"/>
    <col min="6" max="6" width="20.7109375" bestFit="1" customWidth="1"/>
    <col min="7" max="7" width="12.85546875" bestFit="1" customWidth="1"/>
    <col min="8" max="8" width="17" bestFit="1" customWidth="1"/>
    <col min="9" max="10" width="12.7109375" bestFit="1" customWidth="1"/>
    <col min="11" max="11" width="13.5703125" bestFit="1" customWidth="1"/>
    <col min="12" max="14" width="12.7109375" bestFit="1" customWidth="1"/>
    <col min="15" max="15" width="13.85546875" bestFit="1" customWidth="1"/>
    <col min="16" max="16" width="12.7109375" bestFit="1" customWidth="1"/>
    <col min="17" max="17" width="15.5703125" bestFit="1" customWidth="1"/>
    <col min="18" max="18" width="23.140625" bestFit="1" customWidth="1"/>
    <col min="19" max="19" width="20.7109375" bestFit="1" customWidth="1"/>
    <col min="20" max="20" width="24.85546875" bestFit="1" customWidth="1"/>
    <col min="21" max="21" width="8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0.76983471247985003</v>
      </c>
      <c r="D2">
        <v>3.9958731966204097E-3</v>
      </c>
      <c r="E2">
        <v>0.769234144269627</v>
      </c>
      <c r="F2">
        <v>0.247991568412537</v>
      </c>
      <c r="G2">
        <v>2.2554749665859701E-3</v>
      </c>
      <c r="H2">
        <v>0.24755019449579699</v>
      </c>
      <c r="I2">
        <v>0.69112367021276599</v>
      </c>
      <c r="J2">
        <v>9.9020147120818594E-3</v>
      </c>
      <c r="K2">
        <v>0.688663563829787</v>
      </c>
      <c r="L2">
        <v>0.36416931811212</v>
      </c>
      <c r="M2">
        <v>2.8740189474029598E-3</v>
      </c>
      <c r="N2">
        <v>0.36379124804035401</v>
      </c>
      <c r="O2">
        <v>0.85645516100183305</v>
      </c>
      <c r="P2">
        <v>2.6348671019730402E-3</v>
      </c>
      <c r="Q2">
        <v>0.85496889488997496</v>
      </c>
      <c r="R2">
        <v>0.37118049796296898</v>
      </c>
      <c r="S2">
        <v>6.7700729895543502E-3</v>
      </c>
      <c r="T2">
        <v>0.37059323710643699</v>
      </c>
      <c r="U2">
        <v>10</v>
      </c>
    </row>
    <row r="3" spans="1:21" x14ac:dyDescent="0.25">
      <c r="A3" t="s">
        <v>21</v>
      </c>
      <c r="B3" t="s">
        <v>23</v>
      </c>
      <c r="C3">
        <v>0.74815984664083202</v>
      </c>
      <c r="D3">
        <v>2.7422815436968099E-3</v>
      </c>
      <c r="E3">
        <v>0.74803196746188705</v>
      </c>
      <c r="F3">
        <v>0.18955780575740599</v>
      </c>
      <c r="G3">
        <v>3.66937295051474E-3</v>
      </c>
      <c r="H3">
        <v>0.19030064557822199</v>
      </c>
      <c r="I3">
        <v>0.71841755319148903</v>
      </c>
      <c r="J3">
        <v>1.1433654870569099E-2</v>
      </c>
      <c r="K3">
        <v>0.72185283687943202</v>
      </c>
      <c r="L3">
        <v>0.29945344373508598</v>
      </c>
      <c r="M3">
        <v>3.4559615148576301E-3</v>
      </c>
      <c r="N3">
        <v>0.300296121931446</v>
      </c>
      <c r="O3">
        <v>0.82290891733303795</v>
      </c>
      <c r="P3">
        <v>3.3315986594551301E-3</v>
      </c>
      <c r="Q3">
        <v>0.82183303062243196</v>
      </c>
      <c r="R3">
        <v>0.311183759697016</v>
      </c>
      <c r="S3">
        <v>6.0708043474245396E-3</v>
      </c>
      <c r="T3">
        <v>0.310914143244993</v>
      </c>
      <c r="U3">
        <v>10</v>
      </c>
    </row>
    <row r="5" spans="1:21" x14ac:dyDescent="0.25">
      <c r="A5" s="1" t="s">
        <v>0</v>
      </c>
      <c r="B5" s="1" t="s">
        <v>1</v>
      </c>
      <c r="C5" t="s">
        <v>14</v>
      </c>
      <c r="D5" t="s">
        <v>15</v>
      </c>
      <c r="E5" t="s">
        <v>17</v>
      </c>
      <c r="F5" t="s">
        <v>18</v>
      </c>
    </row>
    <row r="6" spans="1:21" x14ac:dyDescent="0.25">
      <c r="A6" s="1" t="s">
        <v>21</v>
      </c>
      <c r="B6" s="1" t="s">
        <v>22</v>
      </c>
      <c r="C6">
        <v>0.85645516100183305</v>
      </c>
      <c r="D6">
        <v>2.6348671019730402E-3</v>
      </c>
      <c r="E6">
        <v>0.37118049796296898</v>
      </c>
      <c r="F6">
        <v>6.7700729895543502E-3</v>
      </c>
    </row>
    <row r="7" spans="1:21" x14ac:dyDescent="0.25">
      <c r="A7" s="1" t="s">
        <v>21</v>
      </c>
      <c r="B7" s="1" t="s">
        <v>23</v>
      </c>
      <c r="C7">
        <v>0.82290891733303795</v>
      </c>
      <c r="D7">
        <v>3.3315986594551301E-3</v>
      </c>
      <c r="E7">
        <v>0.311183759697016</v>
      </c>
      <c r="F7">
        <v>6.0708043474245396E-3</v>
      </c>
    </row>
    <row r="9" spans="1:21" x14ac:dyDescent="0.25">
      <c r="A9" s="1" t="s">
        <v>0</v>
      </c>
      <c r="B9" s="1" t="s">
        <v>1</v>
      </c>
      <c r="C9" t="s">
        <v>14</v>
      </c>
      <c r="D9" t="s">
        <v>15</v>
      </c>
      <c r="E9" t="s">
        <v>17</v>
      </c>
      <c r="F9" t="s">
        <v>18</v>
      </c>
    </row>
    <row r="10" spans="1:21" x14ac:dyDescent="0.25">
      <c r="A10" t="s">
        <v>21</v>
      </c>
      <c r="B10" t="s">
        <v>22</v>
      </c>
      <c r="C10" t="str">
        <f>+FIXED(C6,4)</f>
        <v>0.8565</v>
      </c>
      <c r="D10" t="str">
        <f t="shared" ref="D10:J10" si="0">+FIXED(D6,4)</f>
        <v>0.0026</v>
      </c>
      <c r="E10" t="str">
        <f t="shared" si="0"/>
        <v>0.3712</v>
      </c>
      <c r="F10" t="str">
        <f t="shared" si="0"/>
        <v>0.0068</v>
      </c>
    </row>
    <row r="11" spans="1:21" x14ac:dyDescent="0.25">
      <c r="A11" t="s">
        <v>21</v>
      </c>
      <c r="B11" t="s">
        <v>23</v>
      </c>
      <c r="C11" t="str">
        <f t="shared" ref="C11:J11" si="1">+FIXED(C7,4)</f>
        <v>0.8229</v>
      </c>
      <c r="D11" t="str">
        <f t="shared" si="1"/>
        <v>0.0033</v>
      </c>
      <c r="E11" t="str">
        <f t="shared" si="1"/>
        <v>0.3112</v>
      </c>
      <c r="F11" t="str">
        <f>+FIXED(F7,4)</f>
        <v>0.0061</v>
      </c>
    </row>
    <row r="13" spans="1:21" ht="21.75" customHeight="1" x14ac:dyDescent="0.25">
      <c r="A13" s="5" t="s">
        <v>0</v>
      </c>
      <c r="B13" s="6" t="s">
        <v>29</v>
      </c>
      <c r="C13" s="6" t="s">
        <v>32</v>
      </c>
      <c r="D13" s="6" t="s">
        <v>27</v>
      </c>
    </row>
    <row r="14" spans="1:21" ht="19.5" customHeight="1" x14ac:dyDescent="0.25">
      <c r="A14" s="4" t="s">
        <v>21</v>
      </c>
      <c r="B14" s="7" t="s">
        <v>22</v>
      </c>
      <c r="C14" s="7" t="str">
        <f>+_xlfn.CONCAT(C10," ± ",D10)</f>
        <v>0.8565 ± 0.0026</v>
      </c>
      <c r="D14" s="7" t="str">
        <f>+_xlfn.CONCAT(E10," ± ",F10)</f>
        <v>0.3712 ± 0.0068</v>
      </c>
    </row>
    <row r="15" spans="1:21" ht="20.25" customHeight="1" x14ac:dyDescent="0.25">
      <c r="A15" s="8" t="s">
        <v>21</v>
      </c>
      <c r="B15" s="9" t="s">
        <v>23</v>
      </c>
      <c r="C15" s="9" t="str">
        <f>+_xlfn.CONCAT(C11," ± ",D11)</f>
        <v>0.8229 ± 0.0033</v>
      </c>
      <c r="D15" s="9" t="str">
        <f>+_xlfn.CONCAT(E11," ± ",F11)</f>
        <v>0.3112 ± 0.0061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results_tuned_group_summary</vt:lpstr>
      <vt:lpstr>CP</vt:lpstr>
      <vt:lpstr>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ALUMNO - MAURICIO MOISES ALBORNOZ ALCAZAR</cp:lastModifiedBy>
  <dcterms:created xsi:type="dcterms:W3CDTF">2026-02-07T05:52:31Z</dcterms:created>
  <dcterms:modified xsi:type="dcterms:W3CDTF">2026-02-08T04:01:23Z</dcterms:modified>
</cp:coreProperties>
</file>