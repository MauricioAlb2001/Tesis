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1_{0AE28814-5B13-45E1-9814-E3C2B6BCAF2D}" xr6:coauthVersionLast="47" xr6:coauthVersionMax="47" xr10:uidLastSave="{00000000-0000-0000-0000-000000000000}"/>
  <bookViews>
    <workbookView xWindow="660" yWindow="840" windowWidth="28800" windowHeight="19395" activeTab="2" xr2:uid="{3A0D1EF5-76BC-44D5-B4EC-C49DC9F60BBA}"/>
  </bookViews>
  <sheets>
    <sheet name="results_baseline_summary_12rows" sheetId="1" r:id="rId1"/>
    <sheet name="CP" sheetId="2" r:id="rId2"/>
    <sheet name="CD" sheetId="3" r:id="rId3"/>
    <sheet name="FASE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3" l="1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L23" i="2"/>
  <c r="K23" i="2"/>
  <c r="J23" i="2"/>
  <c r="I23" i="2"/>
  <c r="F31" i="2" s="1"/>
  <c r="H23" i="2"/>
  <c r="G23" i="2"/>
  <c r="F23" i="2"/>
  <c r="E23" i="2"/>
  <c r="L22" i="2"/>
  <c r="K22" i="2"/>
  <c r="G30" i="2" s="1"/>
  <c r="J22" i="2"/>
  <c r="I22" i="2"/>
  <c r="F30" i="2" s="1"/>
  <c r="H22" i="2"/>
  <c r="G22" i="2"/>
  <c r="F22" i="2"/>
  <c r="E22" i="2"/>
  <c r="D30" i="2" s="1"/>
  <c r="L21" i="2"/>
  <c r="K21" i="2"/>
  <c r="J21" i="2"/>
  <c r="I21" i="2"/>
  <c r="H21" i="2"/>
  <c r="G21" i="2"/>
  <c r="F21" i="2"/>
  <c r="E21" i="2"/>
  <c r="D29" i="2" s="1"/>
  <c r="L20" i="2"/>
  <c r="K20" i="2"/>
  <c r="J20" i="2"/>
  <c r="I20" i="2"/>
  <c r="F28" i="2" s="1"/>
  <c r="H20" i="2"/>
  <c r="G20" i="2"/>
  <c r="F20" i="2"/>
  <c r="E20" i="2"/>
  <c r="L19" i="2"/>
  <c r="K19" i="2"/>
  <c r="G27" i="2" s="1"/>
  <c r="J19" i="2"/>
  <c r="I19" i="2"/>
  <c r="F27" i="2" s="1"/>
  <c r="H19" i="2"/>
  <c r="G19" i="2"/>
  <c r="F19" i="2"/>
  <c r="E19" i="2"/>
  <c r="D27" i="2" s="1"/>
  <c r="L18" i="2"/>
  <c r="K18" i="2"/>
  <c r="J18" i="2"/>
  <c r="I18" i="2"/>
  <c r="H18" i="2"/>
  <c r="G18" i="2"/>
  <c r="F18" i="2"/>
  <c r="E18" i="2"/>
  <c r="G31" i="2"/>
  <c r="E31" i="2"/>
  <c r="D31" i="2"/>
  <c r="E30" i="2"/>
  <c r="G29" i="2"/>
  <c r="F29" i="2"/>
  <c r="E29" i="2"/>
  <c r="G28" i="2"/>
  <c r="E28" i="2"/>
  <c r="D28" i="2"/>
  <c r="E27" i="2"/>
  <c r="G26" i="2"/>
  <c r="F26" i="2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K23" i="4"/>
  <c r="J23" i="4"/>
  <c r="I23" i="4"/>
  <c r="H23" i="4"/>
  <c r="G23" i="4"/>
  <c r="F23" i="4"/>
  <c r="E23" i="4"/>
  <c r="D23" i="4"/>
  <c r="K22" i="4"/>
  <c r="J22" i="4"/>
  <c r="I22" i="4"/>
  <c r="H22" i="4"/>
  <c r="G22" i="4"/>
  <c r="F22" i="4"/>
  <c r="E22" i="4"/>
  <c r="D22" i="4"/>
  <c r="K21" i="4"/>
  <c r="J21" i="4"/>
  <c r="I21" i="4"/>
  <c r="H21" i="4"/>
  <c r="G21" i="4"/>
  <c r="F21" i="4"/>
  <c r="E21" i="4"/>
  <c r="D21" i="4"/>
  <c r="K20" i="4"/>
  <c r="J20" i="4"/>
  <c r="I20" i="4"/>
  <c r="H20" i="4"/>
  <c r="G20" i="4"/>
  <c r="F20" i="4"/>
  <c r="E20" i="4"/>
  <c r="D20" i="4"/>
  <c r="K19" i="4"/>
  <c r="J19" i="4"/>
  <c r="I19" i="4"/>
  <c r="H19" i="4"/>
  <c r="G19" i="4"/>
  <c r="F19" i="4"/>
  <c r="E19" i="4"/>
  <c r="D19" i="4"/>
  <c r="K18" i="4"/>
  <c r="J18" i="4"/>
  <c r="I18" i="4"/>
  <c r="H18" i="4"/>
  <c r="G18" i="4"/>
  <c r="F18" i="4"/>
  <c r="E27" i="4" s="1"/>
  <c r="E18" i="4"/>
  <c r="D27" i="4" s="1"/>
  <c r="D18" i="4"/>
  <c r="G16" i="1" l="1"/>
  <c r="G15" i="1"/>
  <c r="G14" i="1"/>
  <c r="G13" i="1"/>
  <c r="G12" i="1"/>
  <c r="G11" i="1"/>
  <c r="E31" i="3" l="1"/>
  <c r="D31" i="3"/>
  <c r="E30" i="3"/>
  <c r="D30" i="3"/>
  <c r="E29" i="3"/>
  <c r="D29" i="3"/>
  <c r="E28" i="3"/>
  <c r="D28" i="3"/>
  <c r="E27" i="3"/>
  <c r="D27" i="3"/>
  <c r="E26" i="3"/>
  <c r="D26" i="3"/>
  <c r="E26" i="2"/>
  <c r="D26" i="2"/>
</calcChain>
</file>

<file path=xl/sharedStrings.xml><?xml version="1.0" encoding="utf-8"?>
<sst xmlns="http://schemas.openxmlformats.org/spreadsheetml/2006/main" count="513" uniqueCount="58">
  <si>
    <t>config</t>
  </si>
  <si>
    <t>model</t>
  </si>
  <si>
    <t>group</t>
  </si>
  <si>
    <t>n_seeds</t>
  </si>
  <si>
    <t>balanced_accuracy_mean</t>
  </si>
  <si>
    <t>balanced_accuracy_std</t>
  </si>
  <si>
    <t>balanced_accuracy_median</t>
  </si>
  <si>
    <t>balanced_accuracy_q1</t>
  </si>
  <si>
    <t>balanced_accuracy_q3</t>
  </si>
  <si>
    <t>precision_mean</t>
  </si>
  <si>
    <t>precision_std</t>
  </si>
  <si>
    <t>precision_median</t>
  </si>
  <si>
    <t>precision_q1</t>
  </si>
  <si>
    <t>precision_q3</t>
  </si>
  <si>
    <t>recall_mean</t>
  </si>
  <si>
    <t>recall_std</t>
  </si>
  <si>
    <t>recall_median</t>
  </si>
  <si>
    <t>recall_q1</t>
  </si>
  <si>
    <t>recall_q3</t>
  </si>
  <si>
    <t>f1_mean</t>
  </si>
  <si>
    <t>f1_std</t>
  </si>
  <si>
    <t>f1_median</t>
  </si>
  <si>
    <t>f1_q1</t>
  </si>
  <si>
    <t>f1_q3</t>
  </si>
  <si>
    <t>roc_auc_mean</t>
  </si>
  <si>
    <t>roc_auc_std</t>
  </si>
  <si>
    <t>roc_auc_median</t>
  </si>
  <si>
    <t>roc_auc_q1</t>
  </si>
  <si>
    <t>roc_auc_q3</t>
  </si>
  <si>
    <t>average_precision_mean</t>
  </si>
  <si>
    <t>average_precision_std</t>
  </si>
  <si>
    <t>average_precision_median</t>
  </si>
  <si>
    <t>average_precision_q1</t>
  </si>
  <si>
    <t>average_precision_q3</t>
  </si>
  <si>
    <t>Baseline</t>
  </si>
  <si>
    <t>Bagging (Decision Tree)</t>
  </si>
  <si>
    <t>Ensemble</t>
  </si>
  <si>
    <t>Decision Tree</t>
  </si>
  <si>
    <t>No Ensemble</t>
  </si>
  <si>
    <t>Logistic Regression</t>
  </si>
  <si>
    <t>Random Forest</t>
  </si>
  <si>
    <t>SVM (Lineal)</t>
  </si>
  <si>
    <t>XGBoost</t>
  </si>
  <si>
    <t>BA (mean ± std)</t>
  </si>
  <si>
    <t>Modelo</t>
  </si>
  <si>
    <t>Grupo</t>
  </si>
  <si>
    <t>Bagging (DT)</t>
  </si>
  <si>
    <t>AUC ROC (mean ± std)</t>
  </si>
  <si>
    <t>AP (mean ± std)</t>
  </si>
  <si>
    <t>IQR (Q3-Q1)</t>
  </si>
  <si>
    <t>AP Q3</t>
  </si>
  <si>
    <t>AP Q1</t>
  </si>
  <si>
    <t>AP STD</t>
  </si>
  <si>
    <t>Configuración</t>
  </si>
  <si>
    <t>F1 (mean ± std)</t>
  </si>
  <si>
    <t>Recall (mean ± std)</t>
  </si>
  <si>
    <t>ROC AUC (mean ± std)</t>
  </si>
  <si>
    <t>Precision (mean ± 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</si>
</sst>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20" fillId="33" borderId="11" xfId="0" applyFont="1" applyFill="1" applyBorder="1" applyAlignment="1">
      <alignment horizontal="center"/>
    </xf>
    <xf numFmtId="164" fontId="20" fillId="33" borderId="0" xfId="0" applyNumberFormat="1" applyFon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164" fontId="20" fillId="33" borderId="11" xfId="0" applyNumberFormat="1" applyFont="1" applyFill="1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3C98-2552-4C48-91D5-8DD7543C85D2}">
  <dimension ref="A1:AH25"/>
  <sheetViews>
    <sheetView zoomScale="130" zoomScaleNormal="130" workbookViewId="0">
      <selection activeCell="C30" sqref="C30"/>
    </sheetView>
  </sheetViews>
  <sheetFormatPr baseColWidth="10" defaultRowHeight="15" x14ac:dyDescent="0.25"/>
  <cols>
    <col min="1" max="1" width="11.85546875" style="5" bestFit="1" customWidth="1"/>
    <col min="2" max="2" width="22" style="5" bestFit="1" customWidth="1"/>
    <col min="3" max="3" width="12.5703125" style="5" bestFit="1" customWidth="1"/>
    <col min="4" max="4" width="8.140625" style="5" bestFit="1" customWidth="1"/>
    <col min="5" max="5" width="24.28515625" style="5" bestFit="1" customWidth="1"/>
    <col min="6" max="6" width="22" style="5" bestFit="1" customWidth="1"/>
    <col min="7" max="7" width="26" style="5" bestFit="1" customWidth="1"/>
    <col min="8" max="9" width="21.42578125" style="5" bestFit="1" customWidth="1"/>
    <col min="10" max="10" width="15.140625" style="5" bestFit="1" customWidth="1"/>
    <col min="11" max="11" width="13.140625" style="5" bestFit="1" customWidth="1"/>
    <col min="12" max="12" width="17" style="5" bestFit="1" customWidth="1"/>
    <col min="13" max="15" width="13.140625" style="5" bestFit="1" customWidth="1"/>
    <col min="16" max="16" width="13.85546875" style="5" bestFit="1" customWidth="1"/>
    <col min="17" max="17" width="13.5703125" style="5" bestFit="1" customWidth="1"/>
    <col min="18" max="18" width="15.5703125" style="5" bestFit="1" customWidth="1"/>
    <col min="19" max="19" width="23.140625" style="5" bestFit="1" customWidth="1"/>
    <col min="20" max="20" width="20.7109375" style="5" bestFit="1" customWidth="1"/>
    <col min="21" max="21" width="24.85546875" style="5" bestFit="1" customWidth="1"/>
    <col min="22" max="24" width="13.140625" style="5" bestFit="1" customWidth="1"/>
    <col min="25" max="25" width="13.85546875" style="5" bestFit="1" customWidth="1"/>
    <col min="26" max="26" width="13.140625" style="5" bestFit="1" customWidth="1"/>
    <col min="27" max="27" width="15.5703125" style="5" bestFit="1" customWidth="1"/>
    <col min="28" max="29" width="13.140625" style="5" bestFit="1" customWidth="1"/>
    <col min="30" max="30" width="23.140625" style="5" bestFit="1" customWidth="1"/>
    <col min="31" max="31" width="20.7109375" style="5" bestFit="1" customWidth="1"/>
    <col min="32" max="32" width="24.85546875" style="5" bestFit="1" customWidth="1"/>
    <col min="33" max="34" width="20.140625" style="5" bestFit="1" customWidth="1"/>
    <col min="35" max="16384" width="11.42578125" style="5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s="5" t="s">
        <v>34</v>
      </c>
      <c r="B2" s="5" t="s">
        <v>35</v>
      </c>
      <c r="C2" s="5" t="s">
        <v>36</v>
      </c>
      <c r="D2" s="5">
        <v>10</v>
      </c>
      <c r="E2" s="5">
        <v>0.65763450890341801</v>
      </c>
      <c r="F2" s="5">
        <v>3.22236927923903E-3</v>
      </c>
      <c r="G2" s="5">
        <v>0.65662239552721202</v>
      </c>
      <c r="H2" s="5">
        <v>0.65594024305034704</v>
      </c>
      <c r="I2" s="5">
        <v>0.66036101291329996</v>
      </c>
      <c r="J2" s="5">
        <v>0.34722690192046501</v>
      </c>
      <c r="K2" s="5">
        <v>5.0281929629750503E-3</v>
      </c>
      <c r="L2" s="5">
        <v>0.347054199869133</v>
      </c>
      <c r="M2" s="5">
        <v>0.34569593569860702</v>
      </c>
      <c r="N2" s="5">
        <v>0.34757854912071001</v>
      </c>
      <c r="O2" s="5">
        <v>0.364361702127659</v>
      </c>
      <c r="P2" s="5">
        <v>8.0201715969513299E-3</v>
      </c>
      <c r="Q2" s="5">
        <v>0.36070478723404198</v>
      </c>
      <c r="R2" s="5">
        <v>0.36012300531914798</v>
      </c>
      <c r="S2" s="5">
        <v>0.37134308510638298</v>
      </c>
      <c r="T2" s="5">
        <v>0.35550684632763602</v>
      </c>
      <c r="U2" s="5">
        <v>3.3533225709079799E-3</v>
      </c>
      <c r="V2" s="5">
        <v>0.35536548733017198</v>
      </c>
      <c r="W2" s="5">
        <v>0.35316652124495801</v>
      </c>
      <c r="X2" s="5">
        <v>0.35746411861697602</v>
      </c>
      <c r="Y2" s="5">
        <v>0.81712701205054705</v>
      </c>
      <c r="Z2" s="5">
        <v>2.5750444996011498E-3</v>
      </c>
      <c r="AA2" s="5">
        <v>0.81693139237450996</v>
      </c>
      <c r="AB2" s="5">
        <v>0.81515390992027803</v>
      </c>
      <c r="AC2" s="5">
        <v>0.81842561775001199</v>
      </c>
      <c r="AD2" s="5">
        <v>0.286069506804084</v>
      </c>
      <c r="AE2" s="5">
        <v>7.1308259157924301E-3</v>
      </c>
      <c r="AF2" s="5">
        <v>0.28503692437048</v>
      </c>
      <c r="AG2" s="5">
        <v>0.281138276552163</v>
      </c>
      <c r="AH2" s="5">
        <v>0.29262115740431199</v>
      </c>
    </row>
    <row r="3" spans="1:34" x14ac:dyDescent="0.25">
      <c r="A3" s="5" t="s">
        <v>34</v>
      </c>
      <c r="B3" s="5" t="s">
        <v>37</v>
      </c>
      <c r="C3" s="5" t="s">
        <v>38</v>
      </c>
      <c r="D3" s="5">
        <v>10</v>
      </c>
      <c r="E3" s="5">
        <v>0.62887843948492705</v>
      </c>
      <c r="F3" s="5">
        <v>3.6655398338777899E-3</v>
      </c>
      <c r="G3" s="5">
        <v>0.62939478657028802</v>
      </c>
      <c r="H3" s="5">
        <v>0.62618032392441503</v>
      </c>
      <c r="I3" s="5">
        <v>0.63056893530631897</v>
      </c>
      <c r="J3" s="5">
        <v>0.21867643752155</v>
      </c>
      <c r="K3" s="5">
        <v>4.2735727923253197E-3</v>
      </c>
      <c r="L3" s="5">
        <v>0.219660722693031</v>
      </c>
      <c r="M3" s="5">
        <v>0.21536318112498301</v>
      </c>
      <c r="N3" s="5">
        <v>0.221904553812422</v>
      </c>
      <c r="O3" s="5">
        <v>0.34644281914893599</v>
      </c>
      <c r="P3" s="5">
        <v>8.0437931019859601E-3</v>
      </c>
      <c r="Q3" s="5">
        <v>0.34657579787234</v>
      </c>
      <c r="R3" s="5">
        <v>0.34000997340425498</v>
      </c>
      <c r="S3" s="5">
        <v>0.35006648936170198</v>
      </c>
      <c r="T3" s="5">
        <v>0.26808888636800698</v>
      </c>
      <c r="U3" s="5">
        <v>4.8483060636997496E-3</v>
      </c>
      <c r="V3" s="5">
        <v>0.268619510698276</v>
      </c>
      <c r="W3" s="5">
        <v>0.26582030981513</v>
      </c>
      <c r="X3" s="5">
        <v>0.271552071311152</v>
      </c>
      <c r="Y3" s="5">
        <v>0.62923165590621599</v>
      </c>
      <c r="Z3" s="5">
        <v>3.6738597281079301E-3</v>
      </c>
      <c r="AA3" s="5">
        <v>0.629432736269674</v>
      </c>
      <c r="AB3" s="5">
        <v>0.62657226728755</v>
      </c>
      <c r="AC3" s="5">
        <v>0.63068774731629396</v>
      </c>
      <c r="AD3" s="5">
        <v>0.119563431992146</v>
      </c>
      <c r="AE3" s="5">
        <v>2.3897540079351998E-3</v>
      </c>
      <c r="AF3" s="5">
        <v>0.119591872649113</v>
      </c>
      <c r="AG3" s="5">
        <v>0.11837215559537601</v>
      </c>
      <c r="AH3" s="5">
        <v>0.12129161896436599</v>
      </c>
    </row>
    <row r="4" spans="1:34" x14ac:dyDescent="0.25">
      <c r="A4" s="5" t="s">
        <v>34</v>
      </c>
      <c r="B4" s="5" t="s">
        <v>39</v>
      </c>
      <c r="C4" s="5" t="s">
        <v>38</v>
      </c>
      <c r="D4" s="5">
        <v>10</v>
      </c>
      <c r="E4" s="5">
        <v>0.74788973228943301</v>
      </c>
      <c r="F4" s="5">
        <v>2.6318784662047101E-3</v>
      </c>
      <c r="G4" s="5">
        <v>0.74853489697125597</v>
      </c>
      <c r="H4" s="5">
        <v>0.74686708150843295</v>
      </c>
      <c r="I4" s="5">
        <v>0.74933055416077199</v>
      </c>
      <c r="J4" s="5">
        <v>0.18029898608756201</v>
      </c>
      <c r="K4" s="5">
        <v>1.6463974630741101E-3</v>
      </c>
      <c r="L4" s="5">
        <v>0.18040307911702499</v>
      </c>
      <c r="M4" s="5">
        <v>0.17916933636013399</v>
      </c>
      <c r="N4" s="5">
        <v>0.18153803232246901</v>
      </c>
      <c r="O4" s="5">
        <v>0.735239361702127</v>
      </c>
      <c r="P4" s="5">
        <v>5.7543075860156702E-3</v>
      </c>
      <c r="Q4" s="5">
        <v>0.73570478723404198</v>
      </c>
      <c r="R4" s="5">
        <v>0.73129986702127603</v>
      </c>
      <c r="S4" s="5">
        <v>0.74052526595744605</v>
      </c>
      <c r="T4" s="5">
        <v>0.28958023789335902</v>
      </c>
      <c r="U4" s="5">
        <v>2.2831151316148801E-3</v>
      </c>
      <c r="V4" s="5">
        <v>0.289618695964248</v>
      </c>
      <c r="W4" s="5">
        <v>0.28830791451197002</v>
      </c>
      <c r="X4" s="5">
        <v>0.29152182882724598</v>
      </c>
      <c r="Y4" s="5">
        <v>0.82293092990040095</v>
      </c>
      <c r="Z4" s="5">
        <v>4.0668374568506001E-3</v>
      </c>
      <c r="AA4" s="5">
        <v>0.82435935231014101</v>
      </c>
      <c r="AB4" s="5">
        <v>0.82165517398134003</v>
      </c>
      <c r="AC4" s="5">
        <v>0.82537507975493296</v>
      </c>
      <c r="AD4" s="5">
        <v>0.31106649439532802</v>
      </c>
      <c r="AE4" s="5">
        <v>8.3854740423005402E-3</v>
      </c>
      <c r="AF4" s="5">
        <v>0.31216133659281098</v>
      </c>
      <c r="AG4" s="5">
        <v>0.308097305395373</v>
      </c>
      <c r="AH4" s="5">
        <v>0.31574327171426397</v>
      </c>
    </row>
    <row r="5" spans="1:34" x14ac:dyDescent="0.25">
      <c r="A5" s="5" t="s">
        <v>34</v>
      </c>
      <c r="B5" s="5" t="s">
        <v>40</v>
      </c>
      <c r="C5" s="5" t="s">
        <v>36</v>
      </c>
      <c r="D5" s="5">
        <v>10</v>
      </c>
      <c r="E5" s="5">
        <v>0.66634384576292105</v>
      </c>
      <c r="F5" s="5">
        <v>3.76970232461177E-3</v>
      </c>
      <c r="G5" s="5">
        <v>0.66700469225647796</v>
      </c>
      <c r="H5" s="5">
        <v>0.66275551346153005</v>
      </c>
      <c r="I5" s="5">
        <v>0.66791498627651402</v>
      </c>
      <c r="J5" s="5">
        <v>0.366029136012469</v>
      </c>
      <c r="K5" s="5">
        <v>4.5052698151897899E-3</v>
      </c>
      <c r="L5" s="5">
        <v>0.36499072227225399</v>
      </c>
      <c r="M5" s="5">
        <v>0.363239825882678</v>
      </c>
      <c r="N5" s="5">
        <v>0.36745498941168497</v>
      </c>
      <c r="O5" s="5">
        <v>0.37982047872340402</v>
      </c>
      <c r="P5" s="5">
        <v>8.4703288946799404E-3</v>
      </c>
      <c r="Q5" s="5">
        <v>0.38131648936170198</v>
      </c>
      <c r="R5" s="5">
        <v>0.37200797872340402</v>
      </c>
      <c r="S5" s="5">
        <v>0.38314494680851002</v>
      </c>
      <c r="T5" s="5">
        <v>0.37274665024394699</v>
      </c>
      <c r="U5" s="5">
        <v>4.8271332007704601E-3</v>
      </c>
      <c r="V5" s="5">
        <v>0.37194870149305598</v>
      </c>
      <c r="W5" s="5">
        <v>0.36900635289892503</v>
      </c>
      <c r="X5" s="5">
        <v>0.37568948401993901</v>
      </c>
      <c r="Y5" s="5">
        <v>0.83356972455873002</v>
      </c>
      <c r="Z5" s="5">
        <v>1.7910027996583899E-3</v>
      </c>
      <c r="AA5" s="5">
        <v>0.83357427717678201</v>
      </c>
      <c r="AB5" s="5">
        <v>0.83280289916544303</v>
      </c>
      <c r="AC5" s="5">
        <v>0.83407260498326896</v>
      </c>
      <c r="AD5" s="5">
        <v>0.31172337824020202</v>
      </c>
      <c r="AE5" s="5">
        <v>5.3453215854816598E-3</v>
      </c>
      <c r="AF5" s="5">
        <v>0.31417914482554099</v>
      </c>
      <c r="AG5" s="5">
        <v>0.30671208797294902</v>
      </c>
      <c r="AH5" s="5">
        <v>0.31593117090832601</v>
      </c>
    </row>
    <row r="6" spans="1:34" x14ac:dyDescent="0.25">
      <c r="A6" s="5" t="s">
        <v>34</v>
      </c>
      <c r="B6" s="5" t="s">
        <v>41</v>
      </c>
      <c r="C6" s="5" t="s">
        <v>38</v>
      </c>
      <c r="D6" s="5">
        <v>10</v>
      </c>
      <c r="E6" s="5">
        <v>0.73728809603551604</v>
      </c>
      <c r="F6" s="5">
        <v>2.3712878109476902E-3</v>
      </c>
      <c r="G6" s="5">
        <v>0.73731081122848097</v>
      </c>
      <c r="H6" s="5">
        <v>0.73543734615863998</v>
      </c>
      <c r="I6" s="5">
        <v>0.73826969923095698</v>
      </c>
      <c r="J6" s="5">
        <v>0.17239660357676201</v>
      </c>
      <c r="K6" s="5">
        <v>8.1975761154171804E-4</v>
      </c>
      <c r="L6" s="5">
        <v>0.172298290957905</v>
      </c>
      <c r="M6" s="5">
        <v>0.17203927105703901</v>
      </c>
      <c r="N6" s="5">
        <v>0.17289745195852599</v>
      </c>
      <c r="O6" s="5">
        <v>0.72330452127659495</v>
      </c>
      <c r="P6" s="5">
        <v>5.6047942214052602E-3</v>
      </c>
      <c r="Q6" s="5">
        <v>0.72240691489361697</v>
      </c>
      <c r="R6" s="5">
        <v>0.71899933510638303</v>
      </c>
      <c r="S6" s="5">
        <v>0.72631316489361697</v>
      </c>
      <c r="T6" s="5">
        <v>0.27842914222502901</v>
      </c>
      <c r="U6" s="5">
        <v>1.37752066918861E-3</v>
      </c>
      <c r="V6" s="5">
        <v>0.27834546176133301</v>
      </c>
      <c r="W6" s="5">
        <v>0.27757605180095002</v>
      </c>
      <c r="X6" s="5">
        <v>0.27945300837815801</v>
      </c>
      <c r="Y6" s="5">
        <v>0.80531397048652598</v>
      </c>
      <c r="Z6" s="5">
        <v>2.82046330377688E-3</v>
      </c>
      <c r="AA6" s="5">
        <v>0.80543418517470899</v>
      </c>
      <c r="AB6" s="5">
        <v>0.80323174683982301</v>
      </c>
      <c r="AC6" s="5">
        <v>0.80743674730787096</v>
      </c>
      <c r="AD6" s="5">
        <v>0.27234198515180902</v>
      </c>
      <c r="AE6" s="5">
        <v>4.7908474188130198E-3</v>
      </c>
      <c r="AF6" s="5">
        <v>0.27180625333606701</v>
      </c>
      <c r="AG6" s="5">
        <v>0.26885933786334498</v>
      </c>
      <c r="AH6" s="5">
        <v>0.27630431937098099</v>
      </c>
    </row>
    <row r="7" spans="1:34" x14ac:dyDescent="0.25">
      <c r="A7" s="5" t="s">
        <v>34</v>
      </c>
      <c r="B7" s="5" t="s">
        <v>42</v>
      </c>
      <c r="C7" s="5" t="s">
        <v>36</v>
      </c>
      <c r="D7" s="5">
        <v>10</v>
      </c>
      <c r="E7" s="5">
        <v>0.69980321733014905</v>
      </c>
      <c r="F7" s="5">
        <v>3.2451875260610099E-3</v>
      </c>
      <c r="G7" s="5">
        <v>0.69953640802401995</v>
      </c>
      <c r="H7" s="5">
        <v>0.69702149921920198</v>
      </c>
      <c r="I7" s="5">
        <v>0.70242851791931904</v>
      </c>
      <c r="J7" s="5">
        <v>0.37277383497521899</v>
      </c>
      <c r="K7" s="5">
        <v>5.5991822179897897E-3</v>
      </c>
      <c r="L7" s="5">
        <v>0.37344271327558198</v>
      </c>
      <c r="M7" s="5">
        <v>0.37131980273071302</v>
      </c>
      <c r="N7" s="5">
        <v>0.37457141598038202</v>
      </c>
      <c r="O7" s="5">
        <v>0.45438829787233997</v>
      </c>
      <c r="P7" s="5">
        <v>6.9977223519717803E-3</v>
      </c>
      <c r="Q7" s="5">
        <v>0.45495345744680799</v>
      </c>
      <c r="R7" s="5">
        <v>0.44872007978723399</v>
      </c>
      <c r="S7" s="5">
        <v>0.45944148936170198</v>
      </c>
      <c r="T7" s="5">
        <v>0.409519062849653</v>
      </c>
      <c r="U7" s="5">
        <v>4.7673031853710801E-3</v>
      </c>
      <c r="V7" s="5">
        <v>0.407664649864725</v>
      </c>
      <c r="W7" s="5">
        <v>0.40570280287944599</v>
      </c>
      <c r="X7" s="5">
        <v>0.41364692600289699</v>
      </c>
      <c r="Y7" s="5">
        <v>0.849247421082992</v>
      </c>
      <c r="Z7" s="5">
        <v>2.1546405108493001E-3</v>
      </c>
      <c r="AA7" s="5">
        <v>0.84796250965546105</v>
      </c>
      <c r="AB7" s="5">
        <v>0.84771963573577003</v>
      </c>
      <c r="AC7" s="5">
        <v>0.85083518255155199</v>
      </c>
      <c r="AD7" s="5">
        <v>0.344541131866344</v>
      </c>
      <c r="AE7" s="5">
        <v>4.8753261698379702E-3</v>
      </c>
      <c r="AF7" s="5">
        <v>0.34483497107739802</v>
      </c>
      <c r="AG7" s="5">
        <v>0.34190531281992198</v>
      </c>
      <c r="AH7" s="5">
        <v>0.34676615876355998</v>
      </c>
    </row>
    <row r="10" spans="1:34" x14ac:dyDescent="0.25">
      <c r="A10" s="6" t="s">
        <v>53</v>
      </c>
      <c r="B10" s="6" t="s">
        <v>44</v>
      </c>
      <c r="C10" s="6" t="s">
        <v>45</v>
      </c>
      <c r="D10" s="6" t="s">
        <v>52</v>
      </c>
      <c r="E10" s="6" t="s">
        <v>51</v>
      </c>
      <c r="F10" s="6" t="s">
        <v>50</v>
      </c>
      <c r="G10" s="6" t="s">
        <v>49</v>
      </c>
    </row>
    <row r="11" spans="1:34" x14ac:dyDescent="0.25">
      <c r="A11" s="7" t="s">
        <v>34</v>
      </c>
      <c r="B11" s="7" t="s">
        <v>35</v>
      </c>
      <c r="C11" s="7" t="s">
        <v>36</v>
      </c>
      <c r="D11" s="9">
        <v>7.1308259157924301E-3</v>
      </c>
      <c r="E11" s="9">
        <v>0.281138276552163</v>
      </c>
      <c r="F11" s="9">
        <v>0.29262115740431199</v>
      </c>
      <c r="G11" s="10">
        <f>+F11-E11</f>
        <v>1.1482880852148991E-2</v>
      </c>
    </row>
    <row r="12" spans="1:34" x14ac:dyDescent="0.25">
      <c r="A12" s="7" t="s">
        <v>34</v>
      </c>
      <c r="B12" s="7" t="s">
        <v>37</v>
      </c>
      <c r="C12" s="7" t="s">
        <v>38</v>
      </c>
      <c r="D12" s="9">
        <v>2.3897540079351998E-3</v>
      </c>
      <c r="E12" s="9">
        <v>0.11837215559537601</v>
      </c>
      <c r="F12" s="9">
        <v>0.12129161896436599</v>
      </c>
      <c r="G12" s="10">
        <f t="shared" ref="G12:G16" si="0">+F12-E12</f>
        <v>2.9194633689899885E-3</v>
      </c>
    </row>
    <row r="13" spans="1:34" x14ac:dyDescent="0.25">
      <c r="A13" s="7" t="s">
        <v>34</v>
      </c>
      <c r="B13" s="7" t="s">
        <v>39</v>
      </c>
      <c r="C13" s="7" t="s">
        <v>38</v>
      </c>
      <c r="D13" s="9">
        <v>8.3854740423005402E-3</v>
      </c>
      <c r="E13" s="9">
        <v>0.308097305395373</v>
      </c>
      <c r="F13" s="9">
        <v>0.31574327171426397</v>
      </c>
      <c r="G13" s="10">
        <f t="shared" si="0"/>
        <v>7.6459663188909732E-3</v>
      </c>
    </row>
    <row r="14" spans="1:34" x14ac:dyDescent="0.25">
      <c r="A14" s="7" t="s">
        <v>34</v>
      </c>
      <c r="B14" s="7" t="s">
        <v>40</v>
      </c>
      <c r="C14" s="7" t="s">
        <v>36</v>
      </c>
      <c r="D14" s="9">
        <v>5.3453215854816598E-3</v>
      </c>
      <c r="E14" s="9">
        <v>0.30671208797294902</v>
      </c>
      <c r="F14" s="9">
        <v>0.31593117090832601</v>
      </c>
      <c r="G14" s="10">
        <f t="shared" si="0"/>
        <v>9.2190829353769876E-3</v>
      </c>
    </row>
    <row r="15" spans="1:34" x14ac:dyDescent="0.25">
      <c r="A15" s="7" t="s">
        <v>34</v>
      </c>
      <c r="B15" s="7" t="s">
        <v>41</v>
      </c>
      <c r="C15" s="7" t="s">
        <v>38</v>
      </c>
      <c r="D15" s="9">
        <v>4.7908474188130198E-3</v>
      </c>
      <c r="E15" s="9">
        <v>0.26885933786334498</v>
      </c>
      <c r="F15" s="9">
        <v>0.27630431937098099</v>
      </c>
      <c r="G15" s="10">
        <f t="shared" si="0"/>
        <v>7.444981507636006E-3</v>
      </c>
    </row>
    <row r="16" spans="1:34" x14ac:dyDescent="0.25">
      <c r="A16" s="8" t="s">
        <v>34</v>
      </c>
      <c r="B16" s="8" t="s">
        <v>42</v>
      </c>
      <c r="C16" s="8" t="s">
        <v>36</v>
      </c>
      <c r="D16" s="11">
        <v>4.8753261698379702E-3</v>
      </c>
      <c r="E16" s="11">
        <v>0.34190531281992198</v>
      </c>
      <c r="F16" s="11">
        <v>0.34676615876355998</v>
      </c>
      <c r="G16" s="12">
        <f t="shared" si="0"/>
        <v>4.8608459436380036E-3</v>
      </c>
    </row>
    <row r="19" spans="1:21" x14ac:dyDescent="0.25">
      <c r="A19" s="5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9</v>
      </c>
      <c r="H19" s="5" t="s">
        <v>10</v>
      </c>
      <c r="I19" s="5" t="s">
        <v>11</v>
      </c>
      <c r="J19" s="5" t="s">
        <v>14</v>
      </c>
      <c r="K19" s="5" t="s">
        <v>15</v>
      </c>
      <c r="L19" s="5" t="s">
        <v>16</v>
      </c>
      <c r="M19" s="5" t="s">
        <v>19</v>
      </c>
      <c r="N19" s="5" t="s">
        <v>20</v>
      </c>
      <c r="O19" s="5" t="s">
        <v>21</v>
      </c>
      <c r="P19" s="5" t="s">
        <v>24</v>
      </c>
      <c r="Q19" s="5" t="s">
        <v>25</v>
      </c>
      <c r="R19" s="5" t="s">
        <v>26</v>
      </c>
      <c r="S19" s="5" t="s">
        <v>29</v>
      </c>
      <c r="T19" s="5" t="s">
        <v>30</v>
      </c>
      <c r="U19" s="5" t="s">
        <v>31</v>
      </c>
    </row>
    <row r="20" spans="1:21" x14ac:dyDescent="0.25">
      <c r="A20" s="5" t="s">
        <v>34</v>
      </c>
      <c r="B20" s="5" t="s">
        <v>35</v>
      </c>
      <c r="C20" s="5" t="s">
        <v>36</v>
      </c>
      <c r="D20" s="5">
        <v>10</v>
      </c>
      <c r="E20" s="5">
        <v>0.65763450890341801</v>
      </c>
      <c r="F20" s="5">
        <v>3.22236927923903E-3</v>
      </c>
      <c r="G20" s="5">
        <v>0.34722690192046501</v>
      </c>
      <c r="H20" s="5">
        <v>5.0281929629750503E-3</v>
      </c>
      <c r="I20" s="5">
        <v>0.347054199869133</v>
      </c>
      <c r="J20" s="5">
        <v>0.364361702127659</v>
      </c>
      <c r="K20" s="5">
        <v>8.0201715969513299E-3</v>
      </c>
      <c r="L20" s="5">
        <v>0.36070478723404198</v>
      </c>
      <c r="M20" s="5">
        <v>0.35550684632763602</v>
      </c>
      <c r="N20" s="5">
        <v>3.3533225709079799E-3</v>
      </c>
      <c r="O20" s="5">
        <v>0.35536548733017198</v>
      </c>
      <c r="P20" s="5">
        <v>0.81712701205054705</v>
      </c>
      <c r="Q20" s="5">
        <v>2.5750444996011498E-3</v>
      </c>
      <c r="R20" s="5">
        <v>0.81693139237450996</v>
      </c>
      <c r="S20" s="5">
        <v>0.286069506804084</v>
      </c>
      <c r="T20" s="5">
        <v>7.1308259157924301E-3</v>
      </c>
      <c r="U20" s="5">
        <v>0.28503692437048</v>
      </c>
    </row>
    <row r="21" spans="1:21" x14ac:dyDescent="0.25">
      <c r="A21" s="5" t="s">
        <v>34</v>
      </c>
      <c r="B21" s="5" t="s">
        <v>37</v>
      </c>
      <c r="C21" s="5" t="s">
        <v>38</v>
      </c>
      <c r="D21" s="5">
        <v>10</v>
      </c>
      <c r="E21" s="5">
        <v>0.62887843948492705</v>
      </c>
      <c r="F21" s="5">
        <v>3.6655398338777899E-3</v>
      </c>
      <c r="G21" s="5">
        <v>0.21867643752155</v>
      </c>
      <c r="H21" s="5">
        <v>4.2735727923253197E-3</v>
      </c>
      <c r="I21" s="5">
        <v>0.219660722693031</v>
      </c>
      <c r="J21" s="5">
        <v>0.34644281914893599</v>
      </c>
      <c r="K21" s="5">
        <v>8.0437931019859601E-3</v>
      </c>
      <c r="L21" s="5">
        <v>0.34657579787234</v>
      </c>
      <c r="M21" s="5">
        <v>0.26808888636800698</v>
      </c>
      <c r="N21" s="5">
        <v>4.8483060636997496E-3</v>
      </c>
      <c r="O21" s="5">
        <v>0.268619510698276</v>
      </c>
      <c r="P21" s="5">
        <v>0.62923165590621599</v>
      </c>
      <c r="Q21" s="5">
        <v>3.6738597281079301E-3</v>
      </c>
      <c r="R21" s="5">
        <v>0.629432736269674</v>
      </c>
      <c r="S21" s="5">
        <v>0.119563431992146</v>
      </c>
      <c r="T21" s="5">
        <v>2.3897540079351998E-3</v>
      </c>
      <c r="U21" s="5">
        <v>0.119591872649113</v>
      </c>
    </row>
    <row r="22" spans="1:21" x14ac:dyDescent="0.25">
      <c r="A22" s="5" t="s">
        <v>34</v>
      </c>
      <c r="B22" s="5" t="s">
        <v>39</v>
      </c>
      <c r="C22" s="5" t="s">
        <v>38</v>
      </c>
      <c r="D22" s="5">
        <v>10</v>
      </c>
      <c r="E22" s="5">
        <v>0.74788973228943301</v>
      </c>
      <c r="F22" s="5">
        <v>2.6318784662047101E-3</v>
      </c>
      <c r="G22" s="5">
        <v>0.18029898608756201</v>
      </c>
      <c r="H22" s="5">
        <v>1.6463974630741101E-3</v>
      </c>
      <c r="I22" s="5">
        <v>0.18040307911702499</v>
      </c>
      <c r="J22" s="5">
        <v>0.735239361702127</v>
      </c>
      <c r="K22" s="5">
        <v>5.7543075860156702E-3</v>
      </c>
      <c r="L22" s="5">
        <v>0.73570478723404198</v>
      </c>
      <c r="M22" s="5">
        <v>0.28958023789335902</v>
      </c>
      <c r="N22" s="5">
        <v>2.2831151316148801E-3</v>
      </c>
      <c r="O22" s="5">
        <v>0.289618695964248</v>
      </c>
      <c r="P22" s="5">
        <v>0.82293092990040095</v>
      </c>
      <c r="Q22" s="5">
        <v>4.0668374568506001E-3</v>
      </c>
      <c r="R22" s="5">
        <v>0.82435935231014101</v>
      </c>
      <c r="S22" s="5">
        <v>0.31106649439532802</v>
      </c>
      <c r="T22" s="5">
        <v>8.3854740423005402E-3</v>
      </c>
      <c r="U22" s="5">
        <v>0.31216133659281098</v>
      </c>
    </row>
    <row r="23" spans="1:21" x14ac:dyDescent="0.25">
      <c r="A23" s="5" t="s">
        <v>34</v>
      </c>
      <c r="B23" s="5" t="s">
        <v>40</v>
      </c>
      <c r="C23" s="5" t="s">
        <v>36</v>
      </c>
      <c r="D23" s="5">
        <v>10</v>
      </c>
      <c r="E23" s="5">
        <v>0.66634384576292105</v>
      </c>
      <c r="F23" s="5">
        <v>3.76970232461177E-3</v>
      </c>
      <c r="G23" s="5">
        <v>0.366029136012469</v>
      </c>
      <c r="H23" s="5">
        <v>4.5052698151897899E-3</v>
      </c>
      <c r="I23" s="5">
        <v>0.36499072227225399</v>
      </c>
      <c r="J23" s="5">
        <v>0.37982047872340402</v>
      </c>
      <c r="K23" s="5">
        <v>8.4703288946799404E-3</v>
      </c>
      <c r="L23" s="5">
        <v>0.38131648936170198</v>
      </c>
      <c r="M23" s="5">
        <v>0.37274665024394699</v>
      </c>
      <c r="N23" s="5">
        <v>4.8271332007704601E-3</v>
      </c>
      <c r="O23" s="5">
        <v>0.37194870149305598</v>
      </c>
      <c r="P23" s="5">
        <v>0.83356972455873002</v>
      </c>
      <c r="Q23" s="5">
        <v>1.7910027996583899E-3</v>
      </c>
      <c r="R23" s="5">
        <v>0.83357427717678201</v>
      </c>
      <c r="S23" s="5">
        <v>0.31172337824020202</v>
      </c>
      <c r="T23" s="5">
        <v>5.3453215854816598E-3</v>
      </c>
      <c r="U23" s="5">
        <v>0.31417914482554099</v>
      </c>
    </row>
    <row r="24" spans="1:21" x14ac:dyDescent="0.25">
      <c r="A24" s="5" t="s">
        <v>34</v>
      </c>
      <c r="B24" s="5" t="s">
        <v>41</v>
      </c>
      <c r="C24" s="5" t="s">
        <v>38</v>
      </c>
      <c r="D24" s="5">
        <v>10</v>
      </c>
      <c r="E24" s="5">
        <v>0.73728809603551604</v>
      </c>
      <c r="F24" s="5">
        <v>2.3712878109476902E-3</v>
      </c>
      <c r="G24" s="5">
        <v>0.17239660357676201</v>
      </c>
      <c r="H24" s="5">
        <v>8.1975761154171804E-4</v>
      </c>
      <c r="I24" s="5">
        <v>0.172298290957905</v>
      </c>
      <c r="J24" s="5">
        <v>0.72330452127659495</v>
      </c>
      <c r="K24" s="5">
        <v>5.6047942214052602E-3</v>
      </c>
      <c r="L24" s="5">
        <v>0.72240691489361697</v>
      </c>
      <c r="M24" s="5">
        <v>0.27842914222502901</v>
      </c>
      <c r="N24" s="5">
        <v>1.37752066918861E-3</v>
      </c>
      <c r="O24" s="5">
        <v>0.27834546176133301</v>
      </c>
      <c r="P24" s="5">
        <v>0.80531397048652598</v>
      </c>
      <c r="Q24" s="5">
        <v>2.82046330377688E-3</v>
      </c>
      <c r="R24" s="5">
        <v>0.80543418517470899</v>
      </c>
      <c r="S24" s="5">
        <v>0.27234198515180902</v>
      </c>
      <c r="T24" s="5">
        <v>4.7908474188130198E-3</v>
      </c>
      <c r="U24" s="5">
        <v>0.27180625333606701</v>
      </c>
    </row>
    <row r="25" spans="1:21" x14ac:dyDescent="0.25">
      <c r="A25" s="5" t="s">
        <v>34</v>
      </c>
      <c r="B25" s="5" t="s">
        <v>42</v>
      </c>
      <c r="C25" s="5" t="s">
        <v>36</v>
      </c>
      <c r="D25" s="5">
        <v>10</v>
      </c>
      <c r="E25" s="5">
        <v>0.69980321733014905</v>
      </c>
      <c r="F25" s="5">
        <v>3.2451875260610099E-3</v>
      </c>
      <c r="G25" s="5">
        <v>0.37277383497521899</v>
      </c>
      <c r="H25" s="5">
        <v>5.5991822179897897E-3</v>
      </c>
      <c r="I25" s="5">
        <v>0.37344271327558198</v>
      </c>
      <c r="J25" s="5">
        <v>0.45438829787233997</v>
      </c>
      <c r="K25" s="5">
        <v>6.9977223519717803E-3</v>
      </c>
      <c r="L25" s="5">
        <v>0.45495345744680799</v>
      </c>
      <c r="M25" s="5">
        <v>0.409519062849653</v>
      </c>
      <c r="N25" s="5">
        <v>4.7673031853710801E-3</v>
      </c>
      <c r="O25" s="5">
        <v>0.407664649864725</v>
      </c>
      <c r="P25" s="5">
        <v>0.849247421082992</v>
      </c>
      <c r="Q25" s="5">
        <v>2.1546405108493001E-3</v>
      </c>
      <c r="R25" s="5">
        <v>0.84796250965546105</v>
      </c>
      <c r="S25" s="5">
        <v>0.344541131866344</v>
      </c>
      <c r="T25" s="5">
        <v>4.8753261698379702E-3</v>
      </c>
      <c r="U25" s="5">
        <v>0.34483497107739802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3485-2E3A-4C60-BC15-717DE87AEC03}">
  <dimension ref="A1:AH31"/>
  <sheetViews>
    <sheetView topLeftCell="A6" zoomScale="130" zoomScaleNormal="130" workbookViewId="0">
      <selection activeCell="G31" sqref="B25:G31"/>
    </sheetView>
  </sheetViews>
  <sheetFormatPr baseColWidth="10" defaultRowHeight="15" x14ac:dyDescent="0.25"/>
  <cols>
    <col min="1" max="1" width="8.5703125" bestFit="1" customWidth="1"/>
    <col min="2" max="2" width="17.5703125" customWidth="1"/>
    <col min="3" max="3" width="12.5703125" bestFit="1" customWidth="1"/>
    <col min="4" max="4" width="14.140625" customWidth="1"/>
    <col min="5" max="5" width="15.85546875" customWidth="1"/>
    <col min="6" max="6" width="17.28515625" customWidth="1"/>
    <col min="7" max="7" width="15.140625" customWidth="1"/>
    <col min="8" max="9" width="21.42578125" bestFit="1" customWidth="1"/>
    <col min="10" max="10" width="15.140625" bestFit="1" customWidth="1"/>
    <col min="11" max="11" width="12.85546875" bestFit="1" customWidth="1"/>
    <col min="12" max="12" width="17" bestFit="1" customWidth="1"/>
    <col min="13" max="16" width="12.85546875" bestFit="1" customWidth="1"/>
    <col min="17" max="17" width="13.5703125" bestFit="1" customWidth="1"/>
    <col min="18" max="24" width="12.85546875" bestFit="1" customWidth="1"/>
    <col min="25" max="25" width="13.85546875" bestFit="1" customWidth="1"/>
    <col min="26" max="26" width="12.85546875" bestFit="1" customWidth="1"/>
    <col min="27" max="27" width="15.5703125" bestFit="1" customWidth="1"/>
    <col min="28" max="29" width="12.85546875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10</v>
      </c>
      <c r="E2">
        <v>0.65763450890341801</v>
      </c>
      <c r="F2">
        <v>3.22236927923903E-3</v>
      </c>
      <c r="G2">
        <v>0.65662239552721202</v>
      </c>
      <c r="H2">
        <v>0.65594024305034704</v>
      </c>
      <c r="I2">
        <v>0.66036101291329996</v>
      </c>
      <c r="J2">
        <v>0.34722690192046501</v>
      </c>
      <c r="K2">
        <v>5.0281929629750503E-3</v>
      </c>
      <c r="L2">
        <v>0.347054199869133</v>
      </c>
      <c r="M2">
        <v>0.34569593569860702</v>
      </c>
      <c r="N2">
        <v>0.34757854912071001</v>
      </c>
      <c r="O2">
        <v>0.364361702127659</v>
      </c>
      <c r="P2">
        <v>8.0201715969513299E-3</v>
      </c>
      <c r="Q2">
        <v>0.36070478723404198</v>
      </c>
      <c r="R2">
        <v>0.36012300531914798</v>
      </c>
      <c r="S2">
        <v>0.37134308510638298</v>
      </c>
      <c r="T2">
        <v>0.35550684632763602</v>
      </c>
      <c r="U2">
        <v>3.3533225709079799E-3</v>
      </c>
      <c r="V2">
        <v>0.35536548733017198</v>
      </c>
      <c r="W2">
        <v>0.35316652124495801</v>
      </c>
      <c r="X2">
        <v>0.35746411861697602</v>
      </c>
      <c r="Y2">
        <v>0.81712701205054705</v>
      </c>
      <c r="Z2">
        <v>2.5750444996011498E-3</v>
      </c>
      <c r="AA2">
        <v>0.81693139237450996</v>
      </c>
      <c r="AB2">
        <v>0.81515390992027803</v>
      </c>
      <c r="AC2">
        <v>0.81842561775001199</v>
      </c>
      <c r="AD2">
        <v>0.286069506804084</v>
      </c>
      <c r="AE2">
        <v>7.1308259157924301E-3</v>
      </c>
      <c r="AF2">
        <v>0.28503692437048</v>
      </c>
      <c r="AG2">
        <v>0.281138276552163</v>
      </c>
      <c r="AH2">
        <v>0.29262115740431199</v>
      </c>
    </row>
    <row r="3" spans="1:34" x14ac:dyDescent="0.25">
      <c r="A3" t="s">
        <v>34</v>
      </c>
      <c r="B3" t="s">
        <v>37</v>
      </c>
      <c r="C3" t="s">
        <v>38</v>
      </c>
      <c r="D3">
        <v>10</v>
      </c>
      <c r="E3">
        <v>0.62887843948492705</v>
      </c>
      <c r="F3">
        <v>3.6655398338777899E-3</v>
      </c>
      <c r="G3">
        <v>0.62939478657028802</v>
      </c>
      <c r="H3">
        <v>0.62618032392441503</v>
      </c>
      <c r="I3">
        <v>0.63056893530631897</v>
      </c>
      <c r="J3">
        <v>0.21867643752155</v>
      </c>
      <c r="K3">
        <v>4.2735727923253197E-3</v>
      </c>
      <c r="L3">
        <v>0.219660722693031</v>
      </c>
      <c r="M3">
        <v>0.21536318112498301</v>
      </c>
      <c r="N3">
        <v>0.221904553812422</v>
      </c>
      <c r="O3">
        <v>0.34644281914893599</v>
      </c>
      <c r="P3">
        <v>8.0437931019859601E-3</v>
      </c>
      <c r="Q3">
        <v>0.34657579787234</v>
      </c>
      <c r="R3">
        <v>0.34000997340425498</v>
      </c>
      <c r="S3">
        <v>0.35006648936170198</v>
      </c>
      <c r="T3">
        <v>0.26808888636800698</v>
      </c>
      <c r="U3">
        <v>4.8483060636997496E-3</v>
      </c>
      <c r="V3">
        <v>0.268619510698276</v>
      </c>
      <c r="W3">
        <v>0.26582030981513</v>
      </c>
      <c r="X3">
        <v>0.271552071311152</v>
      </c>
      <c r="Y3">
        <v>0.62923165590621599</v>
      </c>
      <c r="Z3">
        <v>3.6738597281079301E-3</v>
      </c>
      <c r="AA3">
        <v>0.629432736269674</v>
      </c>
      <c r="AB3">
        <v>0.62657226728755</v>
      </c>
      <c r="AC3">
        <v>0.63068774731629396</v>
      </c>
      <c r="AD3">
        <v>0.119563431992146</v>
      </c>
      <c r="AE3">
        <v>2.3897540079351998E-3</v>
      </c>
      <c r="AF3">
        <v>0.119591872649113</v>
      </c>
      <c r="AG3">
        <v>0.11837215559537601</v>
      </c>
      <c r="AH3">
        <v>0.12129161896436599</v>
      </c>
    </row>
    <row r="4" spans="1:34" x14ac:dyDescent="0.25">
      <c r="A4" t="s">
        <v>34</v>
      </c>
      <c r="B4" t="s">
        <v>39</v>
      </c>
      <c r="C4" t="s">
        <v>38</v>
      </c>
      <c r="D4">
        <v>10</v>
      </c>
      <c r="E4">
        <v>0.74788973228943301</v>
      </c>
      <c r="F4">
        <v>2.6318784662047101E-3</v>
      </c>
      <c r="G4">
        <v>0.74853489697125597</v>
      </c>
      <c r="H4">
        <v>0.74686708150843295</v>
      </c>
      <c r="I4">
        <v>0.74933055416077199</v>
      </c>
      <c r="J4">
        <v>0.18029898608756201</v>
      </c>
      <c r="K4">
        <v>1.6463974630741101E-3</v>
      </c>
      <c r="L4">
        <v>0.18040307911702499</v>
      </c>
      <c r="M4">
        <v>0.17916933636013399</v>
      </c>
      <c r="N4">
        <v>0.18153803232246901</v>
      </c>
      <c r="O4">
        <v>0.735239361702127</v>
      </c>
      <c r="P4">
        <v>5.7543075860156702E-3</v>
      </c>
      <c r="Q4">
        <v>0.73570478723404198</v>
      </c>
      <c r="R4">
        <v>0.73129986702127603</v>
      </c>
      <c r="S4">
        <v>0.74052526595744605</v>
      </c>
      <c r="T4">
        <v>0.28958023789335902</v>
      </c>
      <c r="U4">
        <v>2.2831151316148801E-3</v>
      </c>
      <c r="V4">
        <v>0.289618695964248</v>
      </c>
      <c r="W4">
        <v>0.28830791451197002</v>
      </c>
      <c r="X4">
        <v>0.29152182882724598</v>
      </c>
      <c r="Y4">
        <v>0.82293092990040095</v>
      </c>
      <c r="Z4">
        <v>4.0668374568506001E-3</v>
      </c>
      <c r="AA4">
        <v>0.82435935231014101</v>
      </c>
      <c r="AB4">
        <v>0.82165517398134003</v>
      </c>
      <c r="AC4">
        <v>0.82537507975493296</v>
      </c>
      <c r="AD4">
        <v>0.31106649439532802</v>
      </c>
      <c r="AE4">
        <v>8.3854740423005402E-3</v>
      </c>
      <c r="AF4">
        <v>0.31216133659281098</v>
      </c>
      <c r="AG4">
        <v>0.308097305395373</v>
      </c>
      <c r="AH4">
        <v>0.31574327171426397</v>
      </c>
    </row>
    <row r="5" spans="1:34" x14ac:dyDescent="0.25">
      <c r="A5" t="s">
        <v>34</v>
      </c>
      <c r="B5" t="s">
        <v>40</v>
      </c>
      <c r="C5" t="s">
        <v>36</v>
      </c>
      <c r="D5">
        <v>10</v>
      </c>
      <c r="E5">
        <v>0.66634384576292105</v>
      </c>
      <c r="F5">
        <v>3.76970232461177E-3</v>
      </c>
      <c r="G5">
        <v>0.66700469225647796</v>
      </c>
      <c r="H5">
        <v>0.66275551346153005</v>
      </c>
      <c r="I5">
        <v>0.66791498627651402</v>
      </c>
      <c r="J5">
        <v>0.366029136012469</v>
      </c>
      <c r="K5">
        <v>4.5052698151897899E-3</v>
      </c>
      <c r="L5">
        <v>0.36499072227225399</v>
      </c>
      <c r="M5">
        <v>0.363239825882678</v>
      </c>
      <c r="N5">
        <v>0.36745498941168497</v>
      </c>
      <c r="O5">
        <v>0.37982047872340402</v>
      </c>
      <c r="P5">
        <v>8.4703288946799404E-3</v>
      </c>
      <c r="Q5">
        <v>0.38131648936170198</v>
      </c>
      <c r="R5">
        <v>0.37200797872340402</v>
      </c>
      <c r="S5">
        <v>0.38314494680851002</v>
      </c>
      <c r="T5">
        <v>0.37274665024394699</v>
      </c>
      <c r="U5">
        <v>4.8271332007704601E-3</v>
      </c>
      <c r="V5">
        <v>0.37194870149305598</v>
      </c>
      <c r="W5">
        <v>0.36900635289892503</v>
      </c>
      <c r="X5">
        <v>0.37568948401993901</v>
      </c>
      <c r="Y5">
        <v>0.83356972455873002</v>
      </c>
      <c r="Z5">
        <v>1.7910027996583899E-3</v>
      </c>
      <c r="AA5">
        <v>0.83357427717678201</v>
      </c>
      <c r="AB5">
        <v>0.83280289916544303</v>
      </c>
      <c r="AC5">
        <v>0.83407260498326896</v>
      </c>
      <c r="AD5">
        <v>0.31172337824020202</v>
      </c>
      <c r="AE5">
        <v>5.3453215854816598E-3</v>
      </c>
      <c r="AF5">
        <v>0.31417914482554099</v>
      </c>
      <c r="AG5">
        <v>0.30671208797294902</v>
      </c>
      <c r="AH5">
        <v>0.31593117090832601</v>
      </c>
    </row>
    <row r="6" spans="1:34" x14ac:dyDescent="0.25">
      <c r="A6" t="s">
        <v>34</v>
      </c>
      <c r="B6" t="s">
        <v>41</v>
      </c>
      <c r="C6" t="s">
        <v>38</v>
      </c>
      <c r="D6">
        <v>10</v>
      </c>
      <c r="E6">
        <v>0.73728809603551604</v>
      </c>
      <c r="F6">
        <v>2.3712878109476902E-3</v>
      </c>
      <c r="G6">
        <v>0.73731081122848097</v>
      </c>
      <c r="H6">
        <v>0.73543734615863998</v>
      </c>
      <c r="I6">
        <v>0.73826969923095698</v>
      </c>
      <c r="J6">
        <v>0.17239660357676201</v>
      </c>
      <c r="K6">
        <v>8.1975761154171804E-4</v>
      </c>
      <c r="L6">
        <v>0.172298290957905</v>
      </c>
      <c r="M6">
        <v>0.17203927105703901</v>
      </c>
      <c r="N6">
        <v>0.17289745195852599</v>
      </c>
      <c r="O6">
        <v>0.72330452127659495</v>
      </c>
      <c r="P6">
        <v>5.6047942214052602E-3</v>
      </c>
      <c r="Q6">
        <v>0.72240691489361697</v>
      </c>
      <c r="R6">
        <v>0.71899933510638303</v>
      </c>
      <c r="S6">
        <v>0.72631316489361697</v>
      </c>
      <c r="T6">
        <v>0.27842914222502901</v>
      </c>
      <c r="U6">
        <v>1.37752066918861E-3</v>
      </c>
      <c r="V6">
        <v>0.27834546176133301</v>
      </c>
      <c r="W6">
        <v>0.27757605180095002</v>
      </c>
      <c r="X6">
        <v>0.27945300837815801</v>
      </c>
      <c r="Y6">
        <v>0.80531397048652598</v>
      </c>
      <c r="Z6">
        <v>2.82046330377688E-3</v>
      </c>
      <c r="AA6">
        <v>0.80543418517470899</v>
      </c>
      <c r="AB6">
        <v>0.80323174683982301</v>
      </c>
      <c r="AC6">
        <v>0.80743674730787096</v>
      </c>
      <c r="AD6">
        <v>0.27234198515180902</v>
      </c>
      <c r="AE6">
        <v>4.7908474188130198E-3</v>
      </c>
      <c r="AF6">
        <v>0.27180625333606701</v>
      </c>
      <c r="AG6">
        <v>0.26885933786334498</v>
      </c>
      <c r="AH6">
        <v>0.27630431937098099</v>
      </c>
    </row>
    <row r="7" spans="1:34" x14ac:dyDescent="0.25">
      <c r="A7" t="s">
        <v>34</v>
      </c>
      <c r="B7" t="s">
        <v>42</v>
      </c>
      <c r="C7" t="s">
        <v>36</v>
      </c>
      <c r="D7">
        <v>10</v>
      </c>
      <c r="E7">
        <v>0.69980321733014905</v>
      </c>
      <c r="F7">
        <v>3.2451875260610099E-3</v>
      </c>
      <c r="G7">
        <v>0.69953640802401995</v>
      </c>
      <c r="H7">
        <v>0.69702149921920198</v>
      </c>
      <c r="I7">
        <v>0.70242851791931904</v>
      </c>
      <c r="J7">
        <v>0.37277383497521899</v>
      </c>
      <c r="K7">
        <v>5.5991822179897897E-3</v>
      </c>
      <c r="L7">
        <v>0.37344271327558198</v>
      </c>
      <c r="M7">
        <v>0.37131980273071302</v>
      </c>
      <c r="N7">
        <v>0.37457141598038202</v>
      </c>
      <c r="O7">
        <v>0.45438829787233997</v>
      </c>
      <c r="P7">
        <v>6.9977223519717803E-3</v>
      </c>
      <c r="Q7">
        <v>0.45495345744680799</v>
      </c>
      <c r="R7">
        <v>0.44872007978723399</v>
      </c>
      <c r="S7">
        <v>0.45944148936170198</v>
      </c>
      <c r="T7">
        <v>0.409519062849653</v>
      </c>
      <c r="U7">
        <v>4.7673031853710801E-3</v>
      </c>
      <c r="V7">
        <v>0.407664649864725</v>
      </c>
      <c r="W7">
        <v>0.40570280287944599</v>
      </c>
      <c r="X7">
        <v>0.41364692600289699</v>
      </c>
      <c r="Y7">
        <v>0.849247421082992</v>
      </c>
      <c r="Z7">
        <v>2.1546405108493001E-3</v>
      </c>
      <c r="AA7">
        <v>0.84796250965546105</v>
      </c>
      <c r="AB7">
        <v>0.84771963573577003</v>
      </c>
      <c r="AC7">
        <v>0.85083518255155199</v>
      </c>
      <c r="AD7">
        <v>0.344541131866344</v>
      </c>
      <c r="AE7">
        <v>4.8753261698379702E-3</v>
      </c>
      <c r="AF7">
        <v>0.34483497107739802</v>
      </c>
      <c r="AG7">
        <v>0.34190531281992198</v>
      </c>
      <c r="AH7">
        <v>0.34676615876355998</v>
      </c>
    </row>
    <row r="9" spans="1:3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9</v>
      </c>
      <c r="H9" t="s">
        <v>10</v>
      </c>
      <c r="I9" t="s">
        <v>14</v>
      </c>
      <c r="J9" t="s">
        <v>15</v>
      </c>
      <c r="K9" t="s">
        <v>19</v>
      </c>
      <c r="L9" t="s">
        <v>20</v>
      </c>
    </row>
    <row r="10" spans="1:34" x14ac:dyDescent="0.25">
      <c r="A10" t="s">
        <v>34</v>
      </c>
      <c r="B10" t="s">
        <v>35</v>
      </c>
      <c r="C10" t="s">
        <v>36</v>
      </c>
      <c r="D10">
        <v>10</v>
      </c>
      <c r="E10">
        <v>0.65763450890341801</v>
      </c>
      <c r="F10">
        <v>3.22236927923903E-3</v>
      </c>
      <c r="G10">
        <v>0.34722690192046501</v>
      </c>
      <c r="H10">
        <v>5.0281929629750503E-3</v>
      </c>
      <c r="I10">
        <v>0.364361702127659</v>
      </c>
      <c r="J10">
        <v>8.0201715969513299E-3</v>
      </c>
      <c r="K10">
        <v>0.35550684632763602</v>
      </c>
      <c r="L10">
        <v>3.3533225709079799E-3</v>
      </c>
    </row>
    <row r="11" spans="1:34" x14ac:dyDescent="0.25">
      <c r="A11" t="s">
        <v>34</v>
      </c>
      <c r="B11" t="s">
        <v>37</v>
      </c>
      <c r="C11" t="s">
        <v>38</v>
      </c>
      <c r="D11">
        <v>10</v>
      </c>
      <c r="E11">
        <v>0.62887843948492705</v>
      </c>
      <c r="F11">
        <v>3.6655398338777899E-3</v>
      </c>
      <c r="G11">
        <v>0.21867643752155</v>
      </c>
      <c r="H11">
        <v>4.2735727923253197E-3</v>
      </c>
      <c r="I11">
        <v>0.34644281914893599</v>
      </c>
      <c r="J11">
        <v>8.0437931019859601E-3</v>
      </c>
      <c r="K11">
        <v>0.26808888636800698</v>
      </c>
      <c r="L11">
        <v>4.8483060636997496E-3</v>
      </c>
    </row>
    <row r="12" spans="1:34" x14ac:dyDescent="0.25">
      <c r="A12" t="s">
        <v>34</v>
      </c>
      <c r="B12" t="s">
        <v>39</v>
      </c>
      <c r="C12" t="s">
        <v>38</v>
      </c>
      <c r="D12">
        <v>10</v>
      </c>
      <c r="E12">
        <v>0.74788973228943301</v>
      </c>
      <c r="F12">
        <v>2.6318784662047101E-3</v>
      </c>
      <c r="G12">
        <v>0.18029898608756201</v>
      </c>
      <c r="H12">
        <v>1.6463974630741101E-3</v>
      </c>
      <c r="I12">
        <v>0.735239361702127</v>
      </c>
      <c r="J12">
        <v>5.7543075860156702E-3</v>
      </c>
      <c r="K12">
        <v>0.28958023789335902</v>
      </c>
      <c r="L12">
        <v>2.2831151316148801E-3</v>
      </c>
    </row>
    <row r="13" spans="1:34" x14ac:dyDescent="0.25">
      <c r="A13" t="s">
        <v>34</v>
      </c>
      <c r="B13" t="s">
        <v>40</v>
      </c>
      <c r="C13" t="s">
        <v>36</v>
      </c>
      <c r="D13">
        <v>10</v>
      </c>
      <c r="E13">
        <v>0.66634384576292105</v>
      </c>
      <c r="F13">
        <v>3.76970232461177E-3</v>
      </c>
      <c r="G13">
        <v>0.366029136012469</v>
      </c>
      <c r="H13">
        <v>4.5052698151897899E-3</v>
      </c>
      <c r="I13">
        <v>0.37982047872340402</v>
      </c>
      <c r="J13">
        <v>8.4703288946799404E-3</v>
      </c>
      <c r="K13">
        <v>0.37274665024394699</v>
      </c>
      <c r="L13">
        <v>4.8271332007704601E-3</v>
      </c>
    </row>
    <row r="14" spans="1:34" x14ac:dyDescent="0.25">
      <c r="A14" t="s">
        <v>34</v>
      </c>
      <c r="B14" t="s">
        <v>41</v>
      </c>
      <c r="C14" t="s">
        <v>38</v>
      </c>
      <c r="D14">
        <v>10</v>
      </c>
      <c r="E14">
        <v>0.73728809603551604</v>
      </c>
      <c r="F14">
        <v>2.3712878109476902E-3</v>
      </c>
      <c r="G14">
        <v>0.17239660357676201</v>
      </c>
      <c r="H14">
        <v>8.1975761154171804E-4</v>
      </c>
      <c r="I14">
        <v>0.72330452127659495</v>
      </c>
      <c r="J14">
        <v>5.6047942214052602E-3</v>
      </c>
      <c r="K14">
        <v>0.27842914222502901</v>
      </c>
      <c r="L14">
        <v>1.37752066918861E-3</v>
      </c>
    </row>
    <row r="15" spans="1:34" x14ac:dyDescent="0.25">
      <c r="A15" t="s">
        <v>34</v>
      </c>
      <c r="B15" t="s">
        <v>42</v>
      </c>
      <c r="C15" t="s">
        <v>36</v>
      </c>
      <c r="D15">
        <v>10</v>
      </c>
      <c r="E15">
        <v>0.69980321733014905</v>
      </c>
      <c r="F15">
        <v>3.2451875260610099E-3</v>
      </c>
      <c r="G15">
        <v>0.37277383497521899</v>
      </c>
      <c r="H15">
        <v>5.5991822179897897E-3</v>
      </c>
      <c r="I15">
        <v>0.45438829787233997</v>
      </c>
      <c r="J15">
        <v>6.9977223519717803E-3</v>
      </c>
      <c r="K15">
        <v>0.409519062849653</v>
      </c>
      <c r="L15">
        <v>4.7673031853710801E-3</v>
      </c>
    </row>
    <row r="17" spans="1:1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9</v>
      </c>
      <c r="H17" t="s">
        <v>10</v>
      </c>
      <c r="I17" t="s">
        <v>14</v>
      </c>
      <c r="J17" t="s">
        <v>15</v>
      </c>
      <c r="K17" t="s">
        <v>19</v>
      </c>
      <c r="L17" t="s">
        <v>20</v>
      </c>
    </row>
    <row r="18" spans="1:12" x14ac:dyDescent="0.25">
      <c r="A18" t="s">
        <v>34</v>
      </c>
      <c r="B18" t="s">
        <v>35</v>
      </c>
      <c r="C18" t="s">
        <v>36</v>
      </c>
      <c r="D18">
        <v>10</v>
      </c>
      <c r="E18" t="str">
        <f>+FIXED(E10,4)</f>
        <v>0.6576</v>
      </c>
      <c r="F18" t="str">
        <f t="shared" ref="F18:L18" si="0">+FIXED(F10,4)</f>
        <v>0.0032</v>
      </c>
      <c r="G18" t="str">
        <f t="shared" si="0"/>
        <v>0.3472</v>
      </c>
      <c r="H18" t="str">
        <f t="shared" si="0"/>
        <v>0.0050</v>
      </c>
      <c r="I18" t="str">
        <f t="shared" si="0"/>
        <v>0.3644</v>
      </c>
      <c r="J18" t="str">
        <f t="shared" si="0"/>
        <v>0.0080</v>
      </c>
      <c r="K18" t="str">
        <f t="shared" si="0"/>
        <v>0.3555</v>
      </c>
      <c r="L18" t="str">
        <f t="shared" si="0"/>
        <v>0.0034</v>
      </c>
    </row>
    <row r="19" spans="1:12" x14ac:dyDescent="0.25">
      <c r="A19" t="s">
        <v>34</v>
      </c>
      <c r="B19" t="s">
        <v>37</v>
      </c>
      <c r="C19" t="s">
        <v>38</v>
      </c>
      <c r="D19">
        <v>10</v>
      </c>
      <c r="E19" t="str">
        <f t="shared" ref="E19:L19" si="1">+FIXED(E11,4)</f>
        <v>0.6289</v>
      </c>
      <c r="F19" t="str">
        <f t="shared" si="1"/>
        <v>0.0037</v>
      </c>
      <c r="G19" t="str">
        <f t="shared" si="1"/>
        <v>0.2187</v>
      </c>
      <c r="H19" t="str">
        <f t="shared" si="1"/>
        <v>0.0043</v>
      </c>
      <c r="I19" t="str">
        <f t="shared" si="1"/>
        <v>0.3464</v>
      </c>
      <c r="J19" t="str">
        <f t="shared" si="1"/>
        <v>0.0080</v>
      </c>
      <c r="K19" t="str">
        <f t="shared" si="1"/>
        <v>0.2681</v>
      </c>
      <c r="L19" t="str">
        <f t="shared" si="1"/>
        <v>0.0048</v>
      </c>
    </row>
    <row r="20" spans="1:12" x14ac:dyDescent="0.25">
      <c r="A20" t="s">
        <v>34</v>
      </c>
      <c r="B20" t="s">
        <v>39</v>
      </c>
      <c r="C20" t="s">
        <v>38</v>
      </c>
      <c r="D20">
        <v>10</v>
      </c>
      <c r="E20" t="str">
        <f t="shared" ref="E20:L20" si="2">+FIXED(E12,4)</f>
        <v>0.7479</v>
      </c>
      <c r="F20" t="str">
        <f t="shared" si="2"/>
        <v>0.0026</v>
      </c>
      <c r="G20" t="str">
        <f t="shared" si="2"/>
        <v>0.1803</v>
      </c>
      <c r="H20" t="str">
        <f t="shared" si="2"/>
        <v>0.0016</v>
      </c>
      <c r="I20" t="str">
        <f t="shared" si="2"/>
        <v>0.7352</v>
      </c>
      <c r="J20" t="str">
        <f t="shared" si="2"/>
        <v>0.0058</v>
      </c>
      <c r="K20" t="str">
        <f t="shared" si="2"/>
        <v>0.2896</v>
      </c>
      <c r="L20" t="str">
        <f t="shared" si="2"/>
        <v>0.0023</v>
      </c>
    </row>
    <row r="21" spans="1:12" x14ac:dyDescent="0.25">
      <c r="A21" t="s">
        <v>34</v>
      </c>
      <c r="B21" t="s">
        <v>40</v>
      </c>
      <c r="C21" t="s">
        <v>36</v>
      </c>
      <c r="D21">
        <v>10</v>
      </c>
      <c r="E21" t="str">
        <f t="shared" ref="E21:L21" si="3">+FIXED(E13,4)</f>
        <v>0.6663</v>
      </c>
      <c r="F21" t="str">
        <f t="shared" si="3"/>
        <v>0.0038</v>
      </c>
      <c r="G21" t="str">
        <f t="shared" si="3"/>
        <v>0.3660</v>
      </c>
      <c r="H21" t="str">
        <f t="shared" si="3"/>
        <v>0.0045</v>
      </c>
      <c r="I21" t="str">
        <f t="shared" si="3"/>
        <v>0.3798</v>
      </c>
      <c r="J21" t="str">
        <f t="shared" si="3"/>
        <v>0.0085</v>
      </c>
      <c r="K21" t="str">
        <f t="shared" si="3"/>
        <v>0.3727</v>
      </c>
      <c r="L21" t="str">
        <f t="shared" si="3"/>
        <v>0.0048</v>
      </c>
    </row>
    <row r="22" spans="1:12" x14ac:dyDescent="0.25">
      <c r="A22" t="s">
        <v>34</v>
      </c>
      <c r="B22" t="s">
        <v>41</v>
      </c>
      <c r="C22" t="s">
        <v>38</v>
      </c>
      <c r="D22">
        <v>10</v>
      </c>
      <c r="E22" t="str">
        <f t="shared" ref="E22:L22" si="4">+FIXED(E14,4)</f>
        <v>0.7373</v>
      </c>
      <c r="F22" t="str">
        <f t="shared" si="4"/>
        <v>0.0024</v>
      </c>
      <c r="G22" t="str">
        <f t="shared" si="4"/>
        <v>0.1724</v>
      </c>
      <c r="H22" t="str">
        <f t="shared" si="4"/>
        <v>0.0008</v>
      </c>
      <c r="I22" t="str">
        <f t="shared" si="4"/>
        <v>0.7233</v>
      </c>
      <c r="J22" t="str">
        <f t="shared" si="4"/>
        <v>0.0056</v>
      </c>
      <c r="K22" t="str">
        <f t="shared" si="4"/>
        <v>0.2784</v>
      </c>
      <c r="L22" t="str">
        <f t="shared" si="4"/>
        <v>0.0014</v>
      </c>
    </row>
    <row r="23" spans="1:12" x14ac:dyDescent="0.25">
      <c r="A23" t="s">
        <v>34</v>
      </c>
      <c r="B23" t="s">
        <v>42</v>
      </c>
      <c r="C23" t="s">
        <v>36</v>
      </c>
      <c r="D23">
        <v>10</v>
      </c>
      <c r="E23" t="str">
        <f t="shared" ref="E23:L23" si="5">+FIXED(E15,4)</f>
        <v>0.6998</v>
      </c>
      <c r="F23" t="str">
        <f t="shared" si="5"/>
        <v>0.0032</v>
      </c>
      <c r="G23" t="str">
        <f t="shared" si="5"/>
        <v>0.3728</v>
      </c>
      <c r="H23" t="str">
        <f t="shared" si="5"/>
        <v>0.0056</v>
      </c>
      <c r="I23" t="str">
        <f t="shared" si="5"/>
        <v>0.4544</v>
      </c>
      <c r="J23" t="str">
        <f t="shared" si="5"/>
        <v>0.0070</v>
      </c>
      <c r="K23" t="str">
        <f t="shared" si="5"/>
        <v>0.4095</v>
      </c>
      <c r="L23" t="str">
        <f t="shared" si="5"/>
        <v>0.0048</v>
      </c>
    </row>
    <row r="25" spans="1:12" s="21" customFormat="1" ht="31.5" customHeight="1" x14ac:dyDescent="0.25">
      <c r="A25" s="15" t="s">
        <v>0</v>
      </c>
      <c r="B25" s="22" t="s">
        <v>44</v>
      </c>
      <c r="C25" s="22" t="s">
        <v>45</v>
      </c>
      <c r="D25" s="22" t="s">
        <v>43</v>
      </c>
      <c r="E25" s="22" t="s">
        <v>57</v>
      </c>
      <c r="F25" s="22" t="s">
        <v>55</v>
      </c>
      <c r="G25" s="22" t="s">
        <v>54</v>
      </c>
    </row>
    <row r="26" spans="1:12" x14ac:dyDescent="0.25">
      <c r="A26" s="1" t="s">
        <v>34</v>
      </c>
      <c r="B26" s="23" t="s">
        <v>46</v>
      </c>
      <c r="C26" s="23" t="s">
        <v>36</v>
      </c>
      <c r="D26" s="23" t="str">
        <f>+_xlfn.CONCAT(E18," ± ",F18)</f>
        <v>0.6576 ± 0.0032</v>
      </c>
      <c r="E26" s="23" t="str">
        <f>+_xlfn.CONCAT(G18," ± ",H18)</f>
        <v>0.3472 ± 0.0050</v>
      </c>
      <c r="F26" s="23" t="str">
        <f>+_xlfn.CONCAT(I18," ± ",J18)</f>
        <v>0.3644 ± 0.0080</v>
      </c>
      <c r="G26" s="23" t="str">
        <f>+_xlfn.CONCAT(K18," ± ",L18)</f>
        <v>0.3555 ± 0.0034</v>
      </c>
    </row>
    <row r="27" spans="1:12" x14ac:dyDescent="0.25">
      <c r="A27" s="1" t="s">
        <v>34</v>
      </c>
      <c r="B27" s="23" t="s">
        <v>37</v>
      </c>
      <c r="C27" s="23" t="s">
        <v>38</v>
      </c>
      <c r="D27" s="23" t="str">
        <f t="shared" ref="D27:D31" si="6">+_xlfn.CONCAT(E19," ± ",F19)</f>
        <v>0.6289 ± 0.0037</v>
      </c>
      <c r="E27" s="23" t="str">
        <f t="shared" ref="E27:E31" si="7">+_xlfn.CONCAT(G19," ± ",H19)</f>
        <v>0.2187 ± 0.0043</v>
      </c>
      <c r="F27" s="23" t="str">
        <f t="shared" ref="F27:F31" si="8">+_xlfn.CONCAT(I19," ± ",J19)</f>
        <v>0.3464 ± 0.0080</v>
      </c>
      <c r="G27" s="23" t="str">
        <f t="shared" ref="G27:G31" si="9">+_xlfn.CONCAT(K19," ± ",L19)</f>
        <v>0.2681 ± 0.0048</v>
      </c>
    </row>
    <row r="28" spans="1:12" x14ac:dyDescent="0.25">
      <c r="A28" s="1" t="s">
        <v>34</v>
      </c>
      <c r="B28" s="23" t="s">
        <v>39</v>
      </c>
      <c r="C28" s="23" t="s">
        <v>38</v>
      </c>
      <c r="D28" s="23" t="str">
        <f t="shared" si="6"/>
        <v>0.7479 ± 0.0026</v>
      </c>
      <c r="E28" s="23" t="str">
        <f t="shared" si="7"/>
        <v>0.1803 ± 0.0016</v>
      </c>
      <c r="F28" s="23" t="str">
        <f t="shared" si="8"/>
        <v>0.7352 ± 0.0058</v>
      </c>
      <c r="G28" s="23" t="str">
        <f t="shared" si="9"/>
        <v>0.2896 ± 0.0023</v>
      </c>
    </row>
    <row r="29" spans="1:12" x14ac:dyDescent="0.25">
      <c r="A29" s="1" t="s">
        <v>34</v>
      </c>
      <c r="B29" s="23" t="s">
        <v>40</v>
      </c>
      <c r="C29" s="23" t="s">
        <v>36</v>
      </c>
      <c r="D29" s="23" t="str">
        <f t="shared" si="6"/>
        <v>0.6663 ± 0.0038</v>
      </c>
      <c r="E29" s="23" t="str">
        <f t="shared" si="7"/>
        <v>0.3660 ± 0.0045</v>
      </c>
      <c r="F29" s="23" t="str">
        <f t="shared" si="8"/>
        <v>0.3798 ± 0.0085</v>
      </c>
      <c r="G29" s="23" t="str">
        <f t="shared" si="9"/>
        <v>0.3727 ± 0.0048</v>
      </c>
    </row>
    <row r="30" spans="1:12" x14ac:dyDescent="0.25">
      <c r="A30" s="1" t="s">
        <v>34</v>
      </c>
      <c r="B30" s="23" t="s">
        <v>41</v>
      </c>
      <c r="C30" s="23" t="s">
        <v>38</v>
      </c>
      <c r="D30" s="23" t="str">
        <f t="shared" si="6"/>
        <v>0.7373 ± 0.0024</v>
      </c>
      <c r="E30" s="23" t="str">
        <f t="shared" si="7"/>
        <v>0.1724 ± 0.0008</v>
      </c>
      <c r="F30" s="23" t="str">
        <f t="shared" si="8"/>
        <v>0.7233 ± 0.0056</v>
      </c>
      <c r="G30" s="23" t="str">
        <f t="shared" si="9"/>
        <v>0.2784 ± 0.0014</v>
      </c>
    </row>
    <row r="31" spans="1:12" x14ac:dyDescent="0.25">
      <c r="A31" s="3" t="s">
        <v>34</v>
      </c>
      <c r="B31" s="24" t="s">
        <v>42</v>
      </c>
      <c r="C31" s="24" t="s">
        <v>36</v>
      </c>
      <c r="D31" s="24" t="str">
        <f t="shared" si="6"/>
        <v>0.6998 ± 0.0032</v>
      </c>
      <c r="E31" s="24" t="str">
        <f t="shared" si="7"/>
        <v>0.3728 ± 0.0056</v>
      </c>
      <c r="F31" s="24" t="str">
        <f t="shared" si="8"/>
        <v>0.4544 ± 0.0070</v>
      </c>
      <c r="G31" s="24" t="str">
        <f t="shared" si="9"/>
        <v>0.4095 ± 0.0048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FB69-2023-4A28-9C93-5EF86C8D586C}">
  <dimension ref="A1:AH31"/>
  <sheetViews>
    <sheetView tabSelected="1" zoomScale="115" zoomScaleNormal="115" workbookViewId="0">
      <selection activeCell="G24" sqref="G24"/>
    </sheetView>
  </sheetViews>
  <sheetFormatPr baseColWidth="10" defaultRowHeight="15" x14ac:dyDescent="0.25"/>
  <cols>
    <col min="1" max="2" width="22" bestFit="1" customWidth="1"/>
    <col min="3" max="3" width="13.85546875" bestFit="1" customWidth="1"/>
    <col min="4" max="4" width="18.7109375" customWidth="1"/>
    <col min="5" max="5" width="24.28515625" bestFit="1" customWidth="1"/>
    <col min="6" max="6" width="22" bestFit="1" customWidth="1"/>
    <col min="7" max="7" width="26" bestFit="1" customWidth="1"/>
    <col min="8" max="9" width="21.42578125" bestFit="1" customWidth="1"/>
    <col min="10" max="10" width="15.140625" bestFit="1" customWidth="1"/>
    <col min="11" max="11" width="12.85546875" bestFit="1" customWidth="1"/>
    <col min="12" max="12" width="17" bestFit="1" customWidth="1"/>
    <col min="13" max="14" width="12.28515625" bestFit="1" customWidth="1"/>
    <col min="15" max="16" width="12" bestFit="1" customWidth="1"/>
    <col min="17" max="17" width="13.5703125" bestFit="1" customWidth="1"/>
    <col min="18" max="24" width="12" bestFit="1" customWidth="1"/>
    <col min="25" max="25" width="13.85546875" bestFit="1" customWidth="1"/>
    <col min="26" max="26" width="12" bestFit="1" customWidth="1"/>
    <col min="27" max="27" width="15.5703125" bestFit="1" customWidth="1"/>
    <col min="28" max="29" width="12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10</v>
      </c>
      <c r="E2">
        <v>0.65763450890341801</v>
      </c>
      <c r="F2">
        <v>3.22236927923903E-3</v>
      </c>
      <c r="G2">
        <v>0.65662239552721202</v>
      </c>
      <c r="H2">
        <v>0.65594024305034704</v>
      </c>
      <c r="I2">
        <v>0.66036101291329996</v>
      </c>
      <c r="J2">
        <v>0.34722690192046501</v>
      </c>
      <c r="K2">
        <v>5.0281929629750503E-3</v>
      </c>
      <c r="L2">
        <v>0.347054199869133</v>
      </c>
      <c r="M2">
        <v>0.34569593569860702</v>
      </c>
      <c r="N2">
        <v>0.34757854912071001</v>
      </c>
      <c r="O2">
        <v>0.364361702127659</v>
      </c>
      <c r="P2">
        <v>8.0201715969513299E-3</v>
      </c>
      <c r="Q2">
        <v>0.36070478723404198</v>
      </c>
      <c r="R2">
        <v>0.36012300531914798</v>
      </c>
      <c r="S2">
        <v>0.37134308510638298</v>
      </c>
      <c r="T2">
        <v>0.35550684632763602</v>
      </c>
      <c r="U2">
        <v>3.3533225709079799E-3</v>
      </c>
      <c r="V2">
        <v>0.35536548733017198</v>
      </c>
      <c r="W2">
        <v>0.35316652124495801</v>
      </c>
      <c r="X2">
        <v>0.35746411861697602</v>
      </c>
      <c r="Y2">
        <v>0.81712701205054705</v>
      </c>
      <c r="Z2">
        <v>2.5750444996011498E-3</v>
      </c>
      <c r="AA2">
        <v>0.81693139237450996</v>
      </c>
      <c r="AB2">
        <v>0.81515390992027803</v>
      </c>
      <c r="AC2">
        <v>0.81842561775001199</v>
      </c>
      <c r="AD2">
        <v>0.286069506804084</v>
      </c>
      <c r="AE2">
        <v>7.1308259157924301E-3</v>
      </c>
      <c r="AF2">
        <v>0.28503692437048</v>
      </c>
      <c r="AG2">
        <v>0.281138276552163</v>
      </c>
      <c r="AH2">
        <v>0.29262115740431199</v>
      </c>
    </row>
    <row r="3" spans="1:34" x14ac:dyDescent="0.25">
      <c r="A3" t="s">
        <v>34</v>
      </c>
      <c r="B3" t="s">
        <v>37</v>
      </c>
      <c r="C3" t="s">
        <v>38</v>
      </c>
      <c r="D3">
        <v>10</v>
      </c>
      <c r="E3">
        <v>0.62887843948492705</v>
      </c>
      <c r="F3">
        <v>3.6655398338777899E-3</v>
      </c>
      <c r="G3">
        <v>0.62939478657028802</v>
      </c>
      <c r="H3">
        <v>0.62618032392441503</v>
      </c>
      <c r="I3">
        <v>0.63056893530631897</v>
      </c>
      <c r="J3">
        <v>0.21867643752155</v>
      </c>
      <c r="K3">
        <v>4.2735727923253197E-3</v>
      </c>
      <c r="L3">
        <v>0.219660722693031</v>
      </c>
      <c r="M3">
        <v>0.21536318112498301</v>
      </c>
      <c r="N3">
        <v>0.221904553812422</v>
      </c>
      <c r="O3">
        <v>0.34644281914893599</v>
      </c>
      <c r="P3">
        <v>8.0437931019859601E-3</v>
      </c>
      <c r="Q3">
        <v>0.34657579787234</v>
      </c>
      <c r="R3">
        <v>0.34000997340425498</v>
      </c>
      <c r="S3">
        <v>0.35006648936170198</v>
      </c>
      <c r="T3">
        <v>0.26808888636800698</v>
      </c>
      <c r="U3">
        <v>4.8483060636997496E-3</v>
      </c>
      <c r="V3">
        <v>0.268619510698276</v>
      </c>
      <c r="W3">
        <v>0.26582030981513</v>
      </c>
      <c r="X3">
        <v>0.271552071311152</v>
      </c>
      <c r="Y3">
        <v>0.62923165590621599</v>
      </c>
      <c r="Z3">
        <v>3.6738597281079301E-3</v>
      </c>
      <c r="AA3">
        <v>0.629432736269674</v>
      </c>
      <c r="AB3">
        <v>0.62657226728755</v>
      </c>
      <c r="AC3">
        <v>0.63068774731629396</v>
      </c>
      <c r="AD3">
        <v>0.119563431992146</v>
      </c>
      <c r="AE3">
        <v>2.3897540079351998E-3</v>
      </c>
      <c r="AF3">
        <v>0.119591872649113</v>
      </c>
      <c r="AG3">
        <v>0.11837215559537601</v>
      </c>
      <c r="AH3">
        <v>0.12129161896436599</v>
      </c>
    </row>
    <row r="4" spans="1:34" x14ac:dyDescent="0.25">
      <c r="A4" t="s">
        <v>34</v>
      </c>
      <c r="B4" t="s">
        <v>39</v>
      </c>
      <c r="C4" t="s">
        <v>38</v>
      </c>
      <c r="D4">
        <v>10</v>
      </c>
      <c r="E4">
        <v>0.74788973228943301</v>
      </c>
      <c r="F4">
        <v>2.6318784662047101E-3</v>
      </c>
      <c r="G4">
        <v>0.74853489697125597</v>
      </c>
      <c r="H4">
        <v>0.74686708150843295</v>
      </c>
      <c r="I4">
        <v>0.74933055416077199</v>
      </c>
      <c r="J4">
        <v>0.18029898608756201</v>
      </c>
      <c r="K4">
        <v>1.6463974630741101E-3</v>
      </c>
      <c r="L4">
        <v>0.18040307911702499</v>
      </c>
      <c r="M4">
        <v>0.17916933636013399</v>
      </c>
      <c r="N4">
        <v>0.18153803232246901</v>
      </c>
      <c r="O4">
        <v>0.735239361702127</v>
      </c>
      <c r="P4">
        <v>5.7543075860156702E-3</v>
      </c>
      <c r="Q4">
        <v>0.73570478723404198</v>
      </c>
      <c r="R4">
        <v>0.73129986702127603</v>
      </c>
      <c r="S4">
        <v>0.74052526595744605</v>
      </c>
      <c r="T4">
        <v>0.28958023789335902</v>
      </c>
      <c r="U4">
        <v>2.2831151316148801E-3</v>
      </c>
      <c r="V4">
        <v>0.289618695964248</v>
      </c>
      <c r="W4">
        <v>0.28830791451197002</v>
      </c>
      <c r="X4">
        <v>0.29152182882724598</v>
      </c>
      <c r="Y4">
        <v>0.82293092990040095</v>
      </c>
      <c r="Z4">
        <v>4.0668374568506001E-3</v>
      </c>
      <c r="AA4">
        <v>0.82435935231014101</v>
      </c>
      <c r="AB4">
        <v>0.82165517398134003</v>
      </c>
      <c r="AC4">
        <v>0.82537507975493296</v>
      </c>
      <c r="AD4">
        <v>0.31106649439532802</v>
      </c>
      <c r="AE4">
        <v>8.3854740423005402E-3</v>
      </c>
      <c r="AF4">
        <v>0.31216133659281098</v>
      </c>
      <c r="AG4">
        <v>0.308097305395373</v>
      </c>
      <c r="AH4">
        <v>0.31574327171426397</v>
      </c>
    </row>
    <row r="5" spans="1:34" x14ac:dyDescent="0.25">
      <c r="A5" t="s">
        <v>34</v>
      </c>
      <c r="B5" t="s">
        <v>40</v>
      </c>
      <c r="C5" t="s">
        <v>36</v>
      </c>
      <c r="D5">
        <v>10</v>
      </c>
      <c r="E5">
        <v>0.66634384576292105</v>
      </c>
      <c r="F5">
        <v>3.76970232461177E-3</v>
      </c>
      <c r="G5">
        <v>0.66700469225647796</v>
      </c>
      <c r="H5">
        <v>0.66275551346153005</v>
      </c>
      <c r="I5">
        <v>0.66791498627651402</v>
      </c>
      <c r="J5">
        <v>0.366029136012469</v>
      </c>
      <c r="K5">
        <v>4.5052698151897899E-3</v>
      </c>
      <c r="L5">
        <v>0.36499072227225399</v>
      </c>
      <c r="M5">
        <v>0.363239825882678</v>
      </c>
      <c r="N5">
        <v>0.36745498941168497</v>
      </c>
      <c r="O5">
        <v>0.37982047872340402</v>
      </c>
      <c r="P5">
        <v>8.4703288946799404E-3</v>
      </c>
      <c r="Q5">
        <v>0.38131648936170198</v>
      </c>
      <c r="R5">
        <v>0.37200797872340402</v>
      </c>
      <c r="S5">
        <v>0.38314494680851002</v>
      </c>
      <c r="T5">
        <v>0.37274665024394699</v>
      </c>
      <c r="U5">
        <v>4.8271332007704601E-3</v>
      </c>
      <c r="V5">
        <v>0.37194870149305598</v>
      </c>
      <c r="W5">
        <v>0.36900635289892503</v>
      </c>
      <c r="X5">
        <v>0.37568948401993901</v>
      </c>
      <c r="Y5">
        <v>0.83356972455873002</v>
      </c>
      <c r="Z5">
        <v>1.7910027996583899E-3</v>
      </c>
      <c r="AA5">
        <v>0.83357427717678201</v>
      </c>
      <c r="AB5">
        <v>0.83280289916544303</v>
      </c>
      <c r="AC5">
        <v>0.83407260498326896</v>
      </c>
      <c r="AD5">
        <v>0.31172337824020202</v>
      </c>
      <c r="AE5">
        <v>5.3453215854816598E-3</v>
      </c>
      <c r="AF5">
        <v>0.31417914482554099</v>
      </c>
      <c r="AG5">
        <v>0.30671208797294902</v>
      </c>
      <c r="AH5">
        <v>0.31593117090832601</v>
      </c>
    </row>
    <row r="6" spans="1:34" x14ac:dyDescent="0.25">
      <c r="A6" t="s">
        <v>34</v>
      </c>
      <c r="B6" t="s">
        <v>41</v>
      </c>
      <c r="C6" t="s">
        <v>38</v>
      </c>
      <c r="D6">
        <v>10</v>
      </c>
      <c r="E6">
        <v>0.73728809603551604</v>
      </c>
      <c r="F6">
        <v>2.3712878109476902E-3</v>
      </c>
      <c r="G6">
        <v>0.73731081122848097</v>
      </c>
      <c r="H6">
        <v>0.73543734615863998</v>
      </c>
      <c r="I6">
        <v>0.73826969923095698</v>
      </c>
      <c r="J6">
        <v>0.17239660357676201</v>
      </c>
      <c r="K6">
        <v>8.1975761154171804E-4</v>
      </c>
      <c r="L6">
        <v>0.172298290957905</v>
      </c>
      <c r="M6">
        <v>0.17203927105703901</v>
      </c>
      <c r="N6">
        <v>0.17289745195852599</v>
      </c>
      <c r="O6">
        <v>0.72330452127659495</v>
      </c>
      <c r="P6">
        <v>5.6047942214052602E-3</v>
      </c>
      <c r="Q6">
        <v>0.72240691489361697</v>
      </c>
      <c r="R6">
        <v>0.71899933510638303</v>
      </c>
      <c r="S6">
        <v>0.72631316489361697</v>
      </c>
      <c r="T6">
        <v>0.27842914222502901</v>
      </c>
      <c r="U6">
        <v>1.37752066918861E-3</v>
      </c>
      <c r="V6">
        <v>0.27834546176133301</v>
      </c>
      <c r="W6">
        <v>0.27757605180095002</v>
      </c>
      <c r="X6">
        <v>0.27945300837815801</v>
      </c>
      <c r="Y6">
        <v>0.80531397048652598</v>
      </c>
      <c r="Z6">
        <v>2.82046330377688E-3</v>
      </c>
      <c r="AA6">
        <v>0.80543418517470899</v>
      </c>
      <c r="AB6">
        <v>0.80323174683982301</v>
      </c>
      <c r="AC6">
        <v>0.80743674730787096</v>
      </c>
      <c r="AD6">
        <v>0.27234198515180902</v>
      </c>
      <c r="AE6">
        <v>4.7908474188130198E-3</v>
      </c>
      <c r="AF6">
        <v>0.27180625333606701</v>
      </c>
      <c r="AG6">
        <v>0.26885933786334498</v>
      </c>
      <c r="AH6">
        <v>0.27630431937098099</v>
      </c>
    </row>
    <row r="7" spans="1:34" x14ac:dyDescent="0.25">
      <c r="A7" t="s">
        <v>34</v>
      </c>
      <c r="B7" t="s">
        <v>42</v>
      </c>
      <c r="C7" t="s">
        <v>36</v>
      </c>
      <c r="D7">
        <v>10</v>
      </c>
      <c r="E7">
        <v>0.69980321733014905</v>
      </c>
      <c r="F7">
        <v>3.2451875260610099E-3</v>
      </c>
      <c r="G7">
        <v>0.69953640802401995</v>
      </c>
      <c r="H7">
        <v>0.69702149921920198</v>
      </c>
      <c r="I7">
        <v>0.70242851791931904</v>
      </c>
      <c r="J7">
        <v>0.37277383497521899</v>
      </c>
      <c r="K7">
        <v>5.5991822179897897E-3</v>
      </c>
      <c r="L7">
        <v>0.37344271327558198</v>
      </c>
      <c r="M7">
        <v>0.37131980273071302</v>
      </c>
      <c r="N7">
        <v>0.37457141598038202</v>
      </c>
      <c r="O7">
        <v>0.45438829787233997</v>
      </c>
      <c r="P7">
        <v>6.9977223519717803E-3</v>
      </c>
      <c r="Q7">
        <v>0.45495345744680799</v>
      </c>
      <c r="R7">
        <v>0.44872007978723399</v>
      </c>
      <c r="S7">
        <v>0.45944148936170198</v>
      </c>
      <c r="T7">
        <v>0.409519062849653</v>
      </c>
      <c r="U7">
        <v>4.7673031853710801E-3</v>
      </c>
      <c r="V7">
        <v>0.407664649864725</v>
      </c>
      <c r="W7">
        <v>0.40570280287944599</v>
      </c>
      <c r="X7">
        <v>0.41364692600289699</v>
      </c>
      <c r="Y7">
        <v>0.849247421082992</v>
      </c>
      <c r="Z7">
        <v>2.1546405108493001E-3</v>
      </c>
      <c r="AA7">
        <v>0.84796250965546105</v>
      </c>
      <c r="AB7">
        <v>0.84771963573577003</v>
      </c>
      <c r="AC7">
        <v>0.85083518255155199</v>
      </c>
      <c r="AD7">
        <v>0.344541131866344</v>
      </c>
      <c r="AE7">
        <v>4.8753261698379702E-3</v>
      </c>
      <c r="AF7">
        <v>0.34483497107739802</v>
      </c>
      <c r="AG7">
        <v>0.34190531281992198</v>
      </c>
      <c r="AH7">
        <v>0.34676615876355998</v>
      </c>
    </row>
    <row r="9" spans="1:34" x14ac:dyDescent="0.25">
      <c r="A9" t="s">
        <v>0</v>
      </c>
      <c r="B9" t="s">
        <v>1</v>
      </c>
      <c r="C9" t="s">
        <v>2</v>
      </c>
      <c r="D9" t="s">
        <v>24</v>
      </c>
      <c r="E9" t="s">
        <v>25</v>
      </c>
      <c r="F9" t="s">
        <v>29</v>
      </c>
      <c r="G9" t="s">
        <v>30</v>
      </c>
    </row>
    <row r="10" spans="1:34" x14ac:dyDescent="0.25">
      <c r="A10" t="s">
        <v>34</v>
      </c>
      <c r="B10" t="s">
        <v>35</v>
      </c>
      <c r="C10" t="s">
        <v>36</v>
      </c>
      <c r="D10">
        <v>0.81712701205054705</v>
      </c>
      <c r="E10">
        <v>2.5750444996011498E-3</v>
      </c>
      <c r="F10">
        <v>0.286069506804084</v>
      </c>
      <c r="G10">
        <v>7.1308259157924301E-3</v>
      </c>
    </row>
    <row r="11" spans="1:34" x14ac:dyDescent="0.25">
      <c r="A11" t="s">
        <v>34</v>
      </c>
      <c r="B11" t="s">
        <v>37</v>
      </c>
      <c r="C11" t="s">
        <v>38</v>
      </c>
      <c r="D11">
        <v>0.62923165590621599</v>
      </c>
      <c r="E11">
        <v>3.6738597281079301E-3</v>
      </c>
      <c r="F11">
        <v>0.119563431992146</v>
      </c>
      <c r="G11">
        <v>2.3897540079351998E-3</v>
      </c>
    </row>
    <row r="12" spans="1:34" x14ac:dyDescent="0.25">
      <c r="A12" t="s">
        <v>34</v>
      </c>
      <c r="B12" t="s">
        <v>39</v>
      </c>
      <c r="C12" t="s">
        <v>38</v>
      </c>
      <c r="D12">
        <v>0.82293092990040095</v>
      </c>
      <c r="E12">
        <v>4.0668374568506001E-3</v>
      </c>
      <c r="F12">
        <v>0.31106649439532802</v>
      </c>
      <c r="G12">
        <v>8.3854740423005402E-3</v>
      </c>
    </row>
    <row r="13" spans="1:34" x14ac:dyDescent="0.25">
      <c r="A13" t="s">
        <v>34</v>
      </c>
      <c r="B13" t="s">
        <v>40</v>
      </c>
      <c r="C13" t="s">
        <v>36</v>
      </c>
      <c r="D13">
        <v>0.83356972455873002</v>
      </c>
      <c r="E13">
        <v>1.7910027996583899E-3</v>
      </c>
      <c r="F13">
        <v>0.31172337824020202</v>
      </c>
      <c r="G13">
        <v>5.3453215854816598E-3</v>
      </c>
    </row>
    <row r="14" spans="1:34" x14ac:dyDescent="0.25">
      <c r="A14" t="s">
        <v>34</v>
      </c>
      <c r="B14" t="s">
        <v>41</v>
      </c>
      <c r="C14" t="s">
        <v>38</v>
      </c>
      <c r="D14">
        <v>0.80531397048652598</v>
      </c>
      <c r="E14">
        <v>2.82046330377688E-3</v>
      </c>
      <c r="F14">
        <v>0.27234198515180902</v>
      </c>
      <c r="G14">
        <v>4.7908474188130198E-3</v>
      </c>
    </row>
    <row r="15" spans="1:34" x14ac:dyDescent="0.25">
      <c r="A15" t="s">
        <v>34</v>
      </c>
      <c r="B15" t="s">
        <v>42</v>
      </c>
      <c r="C15" t="s">
        <v>36</v>
      </c>
      <c r="D15">
        <v>0.849247421082992</v>
      </c>
      <c r="E15">
        <v>2.1546405108493001E-3</v>
      </c>
      <c r="F15">
        <v>0.344541131866344</v>
      </c>
      <c r="G15">
        <v>4.8753261698379702E-3</v>
      </c>
    </row>
    <row r="17" spans="1:7" x14ac:dyDescent="0.25">
      <c r="A17" t="s">
        <v>0</v>
      </c>
      <c r="B17" t="s">
        <v>1</v>
      </c>
      <c r="C17" t="s">
        <v>2</v>
      </c>
      <c r="D17" t="s">
        <v>24</v>
      </c>
      <c r="E17" t="s">
        <v>25</v>
      </c>
      <c r="F17" t="s">
        <v>29</v>
      </c>
      <c r="G17" t="s">
        <v>30</v>
      </c>
    </row>
    <row r="18" spans="1:7" x14ac:dyDescent="0.25">
      <c r="A18" t="s">
        <v>34</v>
      </c>
      <c r="B18" t="s">
        <v>35</v>
      </c>
      <c r="C18" t="s">
        <v>36</v>
      </c>
      <c r="D18" t="str">
        <f>+FIXED(D10,4)</f>
        <v>0.8171</v>
      </c>
      <c r="E18" t="str">
        <f t="shared" ref="E18:G18" si="0">+FIXED(E10,4)</f>
        <v>0.0026</v>
      </c>
      <c r="F18" t="str">
        <f t="shared" si="0"/>
        <v>0.2861</v>
      </c>
      <c r="G18" t="str">
        <f t="shared" si="0"/>
        <v>0.0071</v>
      </c>
    </row>
    <row r="19" spans="1:7" x14ac:dyDescent="0.25">
      <c r="A19" t="s">
        <v>34</v>
      </c>
      <c r="B19" t="s">
        <v>37</v>
      </c>
      <c r="C19" t="s">
        <v>38</v>
      </c>
      <c r="D19" t="str">
        <f t="shared" ref="D19:G19" si="1">+FIXED(D11,4)</f>
        <v>0.6292</v>
      </c>
      <c r="E19" t="str">
        <f t="shared" si="1"/>
        <v>0.0037</v>
      </c>
      <c r="F19" t="str">
        <f t="shared" si="1"/>
        <v>0.1196</v>
      </c>
      <c r="G19" t="str">
        <f t="shared" si="1"/>
        <v>0.0024</v>
      </c>
    </row>
    <row r="20" spans="1:7" x14ac:dyDescent="0.25">
      <c r="A20" t="s">
        <v>34</v>
      </c>
      <c r="B20" t="s">
        <v>39</v>
      </c>
      <c r="C20" t="s">
        <v>38</v>
      </c>
      <c r="D20" t="str">
        <f t="shared" ref="D20:G20" si="2">+FIXED(D12,4)</f>
        <v>0.8229</v>
      </c>
      <c r="E20" t="str">
        <f t="shared" si="2"/>
        <v>0.0041</v>
      </c>
      <c r="F20" t="str">
        <f t="shared" si="2"/>
        <v>0.3111</v>
      </c>
      <c r="G20" t="str">
        <f t="shared" si="2"/>
        <v>0.0084</v>
      </c>
    </row>
    <row r="21" spans="1:7" x14ac:dyDescent="0.25">
      <c r="A21" t="s">
        <v>34</v>
      </c>
      <c r="B21" t="s">
        <v>40</v>
      </c>
      <c r="C21" t="s">
        <v>36</v>
      </c>
      <c r="D21" t="str">
        <f t="shared" ref="D21:G21" si="3">+FIXED(D13,4)</f>
        <v>0.8336</v>
      </c>
      <c r="E21" t="str">
        <f t="shared" si="3"/>
        <v>0.0018</v>
      </c>
      <c r="F21" t="str">
        <f t="shared" si="3"/>
        <v>0.3117</v>
      </c>
      <c r="G21" t="str">
        <f t="shared" si="3"/>
        <v>0.0053</v>
      </c>
    </row>
    <row r="22" spans="1:7" x14ac:dyDescent="0.25">
      <c r="A22" t="s">
        <v>34</v>
      </c>
      <c r="B22" t="s">
        <v>41</v>
      </c>
      <c r="C22" t="s">
        <v>38</v>
      </c>
      <c r="D22" t="str">
        <f t="shared" ref="D22:G22" si="4">+FIXED(D14,4)</f>
        <v>0.8053</v>
      </c>
      <c r="E22" t="str">
        <f t="shared" si="4"/>
        <v>0.0028</v>
      </c>
      <c r="F22" t="str">
        <f t="shared" si="4"/>
        <v>0.2723</v>
      </c>
      <c r="G22" t="str">
        <f t="shared" si="4"/>
        <v>0.0048</v>
      </c>
    </row>
    <row r="23" spans="1:7" x14ac:dyDescent="0.25">
      <c r="A23" t="s">
        <v>34</v>
      </c>
      <c r="B23" t="s">
        <v>42</v>
      </c>
      <c r="C23" t="s">
        <v>36</v>
      </c>
      <c r="D23" t="str">
        <f t="shared" ref="D23:G23" si="5">+FIXED(D15,4)</f>
        <v>0.8492</v>
      </c>
      <c r="E23" t="str">
        <f t="shared" si="5"/>
        <v>0.0022</v>
      </c>
      <c r="F23" t="str">
        <f t="shared" si="5"/>
        <v>0.3445</v>
      </c>
      <c r="G23" t="str">
        <f t="shared" si="5"/>
        <v>0.0049</v>
      </c>
    </row>
    <row r="25" spans="1:7" s="21" customFormat="1" ht="21.75" customHeight="1" x14ac:dyDescent="0.25">
      <c r="A25" s="15" t="s">
        <v>0</v>
      </c>
      <c r="B25" s="20" t="s">
        <v>44</v>
      </c>
      <c r="C25" s="20" t="s">
        <v>45</v>
      </c>
      <c r="D25" s="20" t="s">
        <v>47</v>
      </c>
      <c r="E25" s="20" t="s">
        <v>48</v>
      </c>
    </row>
    <row r="26" spans="1:7" x14ac:dyDescent="0.25">
      <c r="A26" s="1" t="s">
        <v>34</v>
      </c>
      <c r="B26" s="2" t="s">
        <v>35</v>
      </c>
      <c r="C26" s="2" t="s">
        <v>36</v>
      </c>
      <c r="D26" s="2" t="str">
        <f>+_xlfn.CONCAT(D18," ± ",E18)</f>
        <v>0.8171 ± 0.0026</v>
      </c>
      <c r="E26" s="2" t="str">
        <f>+_xlfn.CONCAT(F18," ± ",G18)</f>
        <v>0.2861 ± 0.0071</v>
      </c>
    </row>
    <row r="27" spans="1:7" x14ac:dyDescent="0.25">
      <c r="A27" s="1" t="s">
        <v>34</v>
      </c>
      <c r="B27" s="2" t="s">
        <v>37</v>
      </c>
      <c r="C27" s="2" t="s">
        <v>38</v>
      </c>
      <c r="D27" s="2" t="str">
        <f t="shared" ref="D27:D31" si="6">+_xlfn.CONCAT(D19," ± ",E19)</f>
        <v>0.6292 ± 0.0037</v>
      </c>
      <c r="E27" s="2" t="str">
        <f t="shared" ref="E27:E31" si="7">+_xlfn.CONCAT(F19," ± ",G19)</f>
        <v>0.1196 ± 0.0024</v>
      </c>
    </row>
    <row r="28" spans="1:7" x14ac:dyDescent="0.25">
      <c r="A28" s="1" t="s">
        <v>34</v>
      </c>
      <c r="B28" s="2" t="s">
        <v>39</v>
      </c>
      <c r="C28" s="2" t="s">
        <v>38</v>
      </c>
      <c r="D28" s="2" t="str">
        <f t="shared" si="6"/>
        <v>0.8229 ± 0.0041</v>
      </c>
      <c r="E28" s="2" t="str">
        <f t="shared" si="7"/>
        <v>0.3111 ± 0.0084</v>
      </c>
    </row>
    <row r="29" spans="1:7" x14ac:dyDescent="0.25">
      <c r="A29" s="1" t="s">
        <v>34</v>
      </c>
      <c r="B29" s="2" t="s">
        <v>40</v>
      </c>
      <c r="C29" s="2" t="s">
        <v>36</v>
      </c>
      <c r="D29" s="2" t="str">
        <f t="shared" si="6"/>
        <v>0.8336 ± 0.0018</v>
      </c>
      <c r="E29" s="2" t="str">
        <f t="shared" si="7"/>
        <v>0.3117 ± 0.0053</v>
      </c>
    </row>
    <row r="30" spans="1:7" x14ac:dyDescent="0.25">
      <c r="A30" s="1" t="s">
        <v>34</v>
      </c>
      <c r="B30" s="2" t="s">
        <v>41</v>
      </c>
      <c r="C30" s="2" t="s">
        <v>38</v>
      </c>
      <c r="D30" s="2" t="str">
        <f t="shared" si="6"/>
        <v>0.8053 ± 0.0028</v>
      </c>
      <c r="E30" s="2" t="str">
        <f t="shared" si="7"/>
        <v>0.2723 ± 0.0048</v>
      </c>
    </row>
    <row r="31" spans="1:7" x14ac:dyDescent="0.25">
      <c r="A31" s="3" t="s">
        <v>34</v>
      </c>
      <c r="B31" s="4" t="s">
        <v>42</v>
      </c>
      <c r="C31" s="4" t="s">
        <v>36</v>
      </c>
      <c r="D31" s="4" t="str">
        <f t="shared" si="6"/>
        <v>0.8492 ± 0.0022</v>
      </c>
      <c r="E31" s="4" t="str">
        <f t="shared" si="7"/>
        <v>0.3445 ± 0.0049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E025-9989-4C3C-8509-4E10A9B3DCAE}">
  <dimension ref="A1:AH32"/>
  <sheetViews>
    <sheetView topLeftCell="A10" zoomScale="115" zoomScaleNormal="115" workbookViewId="0">
      <selection activeCell="E39" sqref="E39"/>
    </sheetView>
  </sheetViews>
  <sheetFormatPr baseColWidth="10" defaultRowHeight="15" x14ac:dyDescent="0.25"/>
  <cols>
    <col min="1" max="1" width="8.5703125" bestFit="1" customWidth="1"/>
    <col min="2" max="2" width="15.28515625" customWidth="1"/>
    <col min="3" max="3" width="12.5703125" bestFit="1" customWidth="1"/>
    <col min="4" max="4" width="15.28515625" customWidth="1"/>
    <col min="5" max="5" width="16.85546875" customWidth="1"/>
    <col min="6" max="6" width="16.28515625" customWidth="1"/>
    <col min="7" max="7" width="17.42578125" customWidth="1"/>
    <col min="8" max="9" width="21.42578125" bestFit="1" customWidth="1"/>
    <col min="10" max="10" width="15.140625" bestFit="1" customWidth="1"/>
    <col min="11" max="11" width="13.42578125" bestFit="1" customWidth="1"/>
    <col min="12" max="12" width="17" bestFit="1" customWidth="1"/>
    <col min="13" max="16" width="13.42578125" bestFit="1" customWidth="1"/>
    <col min="17" max="17" width="13.5703125" bestFit="1" customWidth="1"/>
    <col min="18" max="24" width="13.42578125" bestFit="1" customWidth="1"/>
    <col min="25" max="25" width="13.85546875" bestFit="1" customWidth="1"/>
    <col min="26" max="26" width="13.42578125" bestFit="1" customWidth="1"/>
    <col min="27" max="27" width="15.5703125" bestFit="1" customWidth="1"/>
    <col min="28" max="29" width="13.42578125" bestFit="1" customWidth="1"/>
    <col min="30" max="30" width="23.140625" bestFit="1" customWidth="1"/>
    <col min="31" max="31" width="20.7109375" bestFit="1" customWidth="1"/>
    <col min="32" max="32" width="24.85546875" bestFit="1" customWidth="1"/>
    <col min="33" max="34" width="20.140625" bestFit="1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s="5" t="s">
        <v>34</v>
      </c>
      <c r="B2" s="5" t="s">
        <v>35</v>
      </c>
      <c r="C2" s="5" t="s">
        <v>36</v>
      </c>
      <c r="D2" s="5">
        <v>10</v>
      </c>
      <c r="E2" s="5">
        <v>0.65763450890341801</v>
      </c>
      <c r="F2" s="5">
        <v>3.22236927923903E-3</v>
      </c>
      <c r="G2" s="5">
        <v>0.65662239552721202</v>
      </c>
      <c r="H2" s="5">
        <v>0.65594024305034704</v>
      </c>
      <c r="I2" s="5">
        <v>0.66036101291329996</v>
      </c>
      <c r="J2" s="5">
        <v>0.34722690192046501</v>
      </c>
      <c r="K2" s="5">
        <v>5.0281929629750503E-3</v>
      </c>
      <c r="L2" s="5">
        <v>0.347054199869133</v>
      </c>
      <c r="M2" s="5">
        <v>0.34569593569860702</v>
      </c>
      <c r="N2" s="5">
        <v>0.34757854912071001</v>
      </c>
      <c r="O2" s="5">
        <v>0.364361702127659</v>
      </c>
      <c r="P2" s="5">
        <v>8.0201715969513299E-3</v>
      </c>
      <c r="Q2" s="5">
        <v>0.36070478723404198</v>
      </c>
      <c r="R2" s="5">
        <v>0.36012300531914798</v>
      </c>
      <c r="S2" s="5">
        <v>0.37134308510638298</v>
      </c>
      <c r="T2" s="5">
        <v>0.35550684632763602</v>
      </c>
      <c r="U2" s="5">
        <v>3.3533225709079799E-3</v>
      </c>
      <c r="V2" s="5">
        <v>0.35536548733017198</v>
      </c>
      <c r="W2" s="5">
        <v>0.35316652124495801</v>
      </c>
      <c r="X2" s="5">
        <v>0.35746411861697602</v>
      </c>
      <c r="Y2" s="5">
        <v>0.81712701205054705</v>
      </c>
      <c r="Z2" s="5">
        <v>2.5750444996011498E-3</v>
      </c>
      <c r="AA2" s="5">
        <v>0.81693139237450996</v>
      </c>
      <c r="AB2" s="5">
        <v>0.81515390992027803</v>
      </c>
      <c r="AC2" s="5">
        <v>0.81842561775001199</v>
      </c>
      <c r="AD2" s="5">
        <v>0.286069506804084</v>
      </c>
      <c r="AE2" s="5">
        <v>7.1308259157924301E-3</v>
      </c>
      <c r="AF2" s="5">
        <v>0.28503692437048</v>
      </c>
      <c r="AG2" s="5">
        <v>0.281138276552163</v>
      </c>
      <c r="AH2" s="5">
        <v>0.29262115740431199</v>
      </c>
    </row>
    <row r="3" spans="1:34" x14ac:dyDescent="0.25">
      <c r="A3" s="5" t="s">
        <v>34</v>
      </c>
      <c r="B3" s="5" t="s">
        <v>37</v>
      </c>
      <c r="C3" s="5" t="s">
        <v>38</v>
      </c>
      <c r="D3" s="5">
        <v>10</v>
      </c>
      <c r="E3" s="5">
        <v>0.62887843948492705</v>
      </c>
      <c r="F3" s="5">
        <v>3.6655398338777899E-3</v>
      </c>
      <c r="G3" s="5">
        <v>0.62939478657028802</v>
      </c>
      <c r="H3" s="5">
        <v>0.62618032392441503</v>
      </c>
      <c r="I3" s="5">
        <v>0.63056893530631897</v>
      </c>
      <c r="J3" s="5">
        <v>0.21867643752155</v>
      </c>
      <c r="K3" s="5">
        <v>4.2735727923253197E-3</v>
      </c>
      <c r="L3" s="5">
        <v>0.219660722693031</v>
      </c>
      <c r="M3" s="5">
        <v>0.21536318112498301</v>
      </c>
      <c r="N3" s="5">
        <v>0.221904553812422</v>
      </c>
      <c r="O3" s="5">
        <v>0.34644281914893599</v>
      </c>
      <c r="P3" s="5">
        <v>8.0437931019859601E-3</v>
      </c>
      <c r="Q3" s="5">
        <v>0.34657579787234</v>
      </c>
      <c r="R3" s="5">
        <v>0.34000997340425498</v>
      </c>
      <c r="S3" s="5">
        <v>0.35006648936170198</v>
      </c>
      <c r="T3" s="5">
        <v>0.26808888636800698</v>
      </c>
      <c r="U3" s="5">
        <v>4.8483060636997496E-3</v>
      </c>
      <c r="V3" s="5">
        <v>0.268619510698276</v>
      </c>
      <c r="W3" s="5">
        <v>0.26582030981513</v>
      </c>
      <c r="X3" s="5">
        <v>0.271552071311152</v>
      </c>
      <c r="Y3" s="5">
        <v>0.62923165590621599</v>
      </c>
      <c r="Z3" s="5">
        <v>3.6738597281079301E-3</v>
      </c>
      <c r="AA3" s="5">
        <v>0.629432736269674</v>
      </c>
      <c r="AB3" s="5">
        <v>0.62657226728755</v>
      </c>
      <c r="AC3" s="5">
        <v>0.63068774731629396</v>
      </c>
      <c r="AD3" s="5">
        <v>0.119563431992146</v>
      </c>
      <c r="AE3" s="5">
        <v>2.3897540079351998E-3</v>
      </c>
      <c r="AF3" s="5">
        <v>0.119591872649113</v>
      </c>
      <c r="AG3" s="5">
        <v>0.11837215559537601</v>
      </c>
      <c r="AH3" s="5">
        <v>0.12129161896436599</v>
      </c>
    </row>
    <row r="4" spans="1:34" x14ac:dyDescent="0.25">
      <c r="A4" s="5" t="s">
        <v>34</v>
      </c>
      <c r="B4" s="5" t="s">
        <v>39</v>
      </c>
      <c r="C4" s="5" t="s">
        <v>38</v>
      </c>
      <c r="D4" s="5">
        <v>10</v>
      </c>
      <c r="E4" s="5">
        <v>0.74788973228943301</v>
      </c>
      <c r="F4" s="5">
        <v>2.6318784662047101E-3</v>
      </c>
      <c r="G4" s="5">
        <v>0.74853489697125597</v>
      </c>
      <c r="H4" s="5">
        <v>0.74686708150843295</v>
      </c>
      <c r="I4" s="5">
        <v>0.74933055416077199</v>
      </c>
      <c r="J4" s="5">
        <v>0.18029898608756201</v>
      </c>
      <c r="K4" s="5">
        <v>1.6463974630741101E-3</v>
      </c>
      <c r="L4" s="5">
        <v>0.18040307911702499</v>
      </c>
      <c r="M4" s="5">
        <v>0.17916933636013399</v>
      </c>
      <c r="N4" s="5">
        <v>0.18153803232246901</v>
      </c>
      <c r="O4" s="5">
        <v>0.735239361702127</v>
      </c>
      <c r="P4" s="5">
        <v>5.7543075860156702E-3</v>
      </c>
      <c r="Q4" s="5">
        <v>0.73570478723404198</v>
      </c>
      <c r="R4" s="5">
        <v>0.73129986702127603</v>
      </c>
      <c r="S4" s="5">
        <v>0.74052526595744605</v>
      </c>
      <c r="T4" s="5">
        <v>0.28958023789335902</v>
      </c>
      <c r="U4" s="5">
        <v>2.2831151316148801E-3</v>
      </c>
      <c r="V4" s="5">
        <v>0.289618695964248</v>
      </c>
      <c r="W4" s="5">
        <v>0.28830791451197002</v>
      </c>
      <c r="X4" s="5">
        <v>0.29152182882724598</v>
      </c>
      <c r="Y4" s="5">
        <v>0.82293092990040095</v>
      </c>
      <c r="Z4" s="5">
        <v>4.0668374568506001E-3</v>
      </c>
      <c r="AA4" s="5">
        <v>0.82435935231014101</v>
      </c>
      <c r="AB4" s="5">
        <v>0.82165517398134003</v>
      </c>
      <c r="AC4" s="5">
        <v>0.82537507975493296</v>
      </c>
      <c r="AD4" s="5">
        <v>0.31106649439532802</v>
      </c>
      <c r="AE4" s="5">
        <v>8.3854740423005402E-3</v>
      </c>
      <c r="AF4" s="5">
        <v>0.31216133659281098</v>
      </c>
      <c r="AG4" s="5">
        <v>0.308097305395373</v>
      </c>
      <c r="AH4" s="5">
        <v>0.31574327171426397</v>
      </c>
    </row>
    <row r="5" spans="1:34" x14ac:dyDescent="0.25">
      <c r="A5" s="5" t="s">
        <v>34</v>
      </c>
      <c r="B5" s="5" t="s">
        <v>40</v>
      </c>
      <c r="C5" s="5" t="s">
        <v>36</v>
      </c>
      <c r="D5" s="5">
        <v>10</v>
      </c>
      <c r="E5" s="5">
        <v>0.66634384576292105</v>
      </c>
      <c r="F5" s="5">
        <v>3.76970232461177E-3</v>
      </c>
      <c r="G5" s="5">
        <v>0.66700469225647796</v>
      </c>
      <c r="H5" s="5">
        <v>0.66275551346153005</v>
      </c>
      <c r="I5" s="5">
        <v>0.66791498627651402</v>
      </c>
      <c r="J5" s="5">
        <v>0.366029136012469</v>
      </c>
      <c r="K5" s="5">
        <v>4.5052698151897899E-3</v>
      </c>
      <c r="L5" s="5">
        <v>0.36499072227225399</v>
      </c>
      <c r="M5" s="5">
        <v>0.363239825882678</v>
      </c>
      <c r="N5" s="5">
        <v>0.36745498941168497</v>
      </c>
      <c r="O5" s="5">
        <v>0.37982047872340402</v>
      </c>
      <c r="P5" s="5">
        <v>8.4703288946799404E-3</v>
      </c>
      <c r="Q5" s="5">
        <v>0.38131648936170198</v>
      </c>
      <c r="R5" s="5">
        <v>0.37200797872340402</v>
      </c>
      <c r="S5" s="5">
        <v>0.38314494680851002</v>
      </c>
      <c r="T5" s="5">
        <v>0.37274665024394699</v>
      </c>
      <c r="U5" s="5">
        <v>4.8271332007704601E-3</v>
      </c>
      <c r="V5" s="5">
        <v>0.37194870149305598</v>
      </c>
      <c r="W5" s="5">
        <v>0.36900635289892503</v>
      </c>
      <c r="X5" s="5">
        <v>0.37568948401993901</v>
      </c>
      <c r="Y5" s="5">
        <v>0.83356972455873002</v>
      </c>
      <c r="Z5" s="5">
        <v>1.7910027996583899E-3</v>
      </c>
      <c r="AA5" s="5">
        <v>0.83357427717678201</v>
      </c>
      <c r="AB5" s="5">
        <v>0.83280289916544303</v>
      </c>
      <c r="AC5" s="5">
        <v>0.83407260498326896</v>
      </c>
      <c r="AD5" s="5">
        <v>0.31172337824020202</v>
      </c>
      <c r="AE5" s="5">
        <v>5.3453215854816598E-3</v>
      </c>
      <c r="AF5" s="5">
        <v>0.31417914482554099</v>
      </c>
      <c r="AG5" s="5">
        <v>0.30671208797294902</v>
      </c>
      <c r="AH5" s="5">
        <v>0.31593117090832601</v>
      </c>
    </row>
    <row r="6" spans="1:34" x14ac:dyDescent="0.25">
      <c r="A6" s="5" t="s">
        <v>34</v>
      </c>
      <c r="B6" s="5" t="s">
        <v>41</v>
      </c>
      <c r="C6" s="5" t="s">
        <v>38</v>
      </c>
      <c r="D6" s="5">
        <v>10</v>
      </c>
      <c r="E6" s="5">
        <v>0.73728809603551604</v>
      </c>
      <c r="F6" s="5">
        <v>2.3712878109476902E-3</v>
      </c>
      <c r="G6" s="5">
        <v>0.73731081122848097</v>
      </c>
      <c r="H6" s="5">
        <v>0.73543734615863998</v>
      </c>
      <c r="I6" s="5">
        <v>0.73826969923095698</v>
      </c>
      <c r="J6" s="5">
        <v>0.17239660357676201</v>
      </c>
      <c r="K6" s="5">
        <v>8.1975761154171804E-4</v>
      </c>
      <c r="L6" s="5">
        <v>0.172298290957905</v>
      </c>
      <c r="M6" s="5">
        <v>0.17203927105703901</v>
      </c>
      <c r="N6" s="5">
        <v>0.17289745195852599</v>
      </c>
      <c r="O6" s="5">
        <v>0.72330452127659495</v>
      </c>
      <c r="P6" s="5">
        <v>5.6047942214052602E-3</v>
      </c>
      <c r="Q6" s="5">
        <v>0.72240691489361697</v>
      </c>
      <c r="R6" s="5">
        <v>0.71899933510638303</v>
      </c>
      <c r="S6" s="5">
        <v>0.72631316489361697</v>
      </c>
      <c r="T6" s="5">
        <v>0.27842914222502901</v>
      </c>
      <c r="U6" s="5">
        <v>1.37752066918861E-3</v>
      </c>
      <c r="V6" s="5">
        <v>0.27834546176133301</v>
      </c>
      <c r="W6" s="5">
        <v>0.27757605180095002</v>
      </c>
      <c r="X6" s="5">
        <v>0.27945300837815801</v>
      </c>
      <c r="Y6" s="5">
        <v>0.80531397048652598</v>
      </c>
      <c r="Z6" s="5">
        <v>2.82046330377688E-3</v>
      </c>
      <c r="AA6" s="5">
        <v>0.80543418517470899</v>
      </c>
      <c r="AB6" s="5">
        <v>0.80323174683982301</v>
      </c>
      <c r="AC6" s="5">
        <v>0.80743674730787096</v>
      </c>
      <c r="AD6" s="5">
        <v>0.27234198515180902</v>
      </c>
      <c r="AE6" s="5">
        <v>4.7908474188130198E-3</v>
      </c>
      <c r="AF6" s="5">
        <v>0.27180625333606701</v>
      </c>
      <c r="AG6" s="5">
        <v>0.26885933786334498</v>
      </c>
      <c r="AH6" s="5">
        <v>0.27630431937098099</v>
      </c>
    </row>
    <row r="7" spans="1:34" x14ac:dyDescent="0.25">
      <c r="A7" s="5" t="s">
        <v>34</v>
      </c>
      <c r="B7" s="5" t="s">
        <v>42</v>
      </c>
      <c r="C7" s="5" t="s">
        <v>36</v>
      </c>
      <c r="D7" s="5">
        <v>10</v>
      </c>
      <c r="E7" s="5">
        <v>0.69980321733014905</v>
      </c>
      <c r="F7" s="5">
        <v>3.2451875260610099E-3</v>
      </c>
      <c r="G7" s="5">
        <v>0.69953640802401995</v>
      </c>
      <c r="H7" s="5">
        <v>0.69702149921920198</v>
      </c>
      <c r="I7" s="5">
        <v>0.70242851791931904</v>
      </c>
      <c r="J7" s="5">
        <v>0.37277383497521899</v>
      </c>
      <c r="K7" s="5">
        <v>5.5991822179897897E-3</v>
      </c>
      <c r="L7" s="5">
        <v>0.37344271327558198</v>
      </c>
      <c r="M7" s="5">
        <v>0.37131980273071302</v>
      </c>
      <c r="N7" s="5">
        <v>0.37457141598038202</v>
      </c>
      <c r="O7" s="5">
        <v>0.45438829787233997</v>
      </c>
      <c r="P7" s="5">
        <v>6.9977223519717803E-3</v>
      </c>
      <c r="Q7" s="5">
        <v>0.45495345744680799</v>
      </c>
      <c r="R7" s="5">
        <v>0.44872007978723399</v>
      </c>
      <c r="S7" s="5">
        <v>0.45944148936170198</v>
      </c>
      <c r="T7" s="5">
        <v>0.409519062849653</v>
      </c>
      <c r="U7" s="5">
        <v>4.7673031853710801E-3</v>
      </c>
      <c r="V7" s="5">
        <v>0.407664649864725</v>
      </c>
      <c r="W7" s="5">
        <v>0.40570280287944599</v>
      </c>
      <c r="X7" s="5">
        <v>0.41364692600289699</v>
      </c>
      <c r="Y7" s="5">
        <v>0.849247421082992</v>
      </c>
      <c r="Z7" s="5">
        <v>2.1546405108493001E-3</v>
      </c>
      <c r="AA7" s="5">
        <v>0.84796250965546105</v>
      </c>
      <c r="AB7" s="5">
        <v>0.84771963573577003</v>
      </c>
      <c r="AC7" s="5">
        <v>0.85083518255155199</v>
      </c>
      <c r="AD7" s="5">
        <v>0.344541131866344</v>
      </c>
      <c r="AE7" s="5">
        <v>4.8753261698379702E-3</v>
      </c>
      <c r="AF7" s="5">
        <v>0.34483497107739802</v>
      </c>
      <c r="AG7" s="5">
        <v>0.34190531281992198</v>
      </c>
      <c r="AH7" s="5">
        <v>0.34676615876355998</v>
      </c>
    </row>
    <row r="9" spans="1:34" x14ac:dyDescent="0.25">
      <c r="A9" s="5" t="s">
        <v>0</v>
      </c>
      <c r="B9" s="5" t="s">
        <v>1</v>
      </c>
      <c r="C9" s="5" t="s">
        <v>2</v>
      </c>
      <c r="D9" s="5" t="s">
        <v>4</v>
      </c>
      <c r="E9" s="5" t="s">
        <v>5</v>
      </c>
      <c r="F9" s="5" t="s">
        <v>19</v>
      </c>
      <c r="G9" s="5" t="s">
        <v>20</v>
      </c>
      <c r="H9" s="5" t="s">
        <v>29</v>
      </c>
      <c r="I9" s="5" t="s">
        <v>30</v>
      </c>
      <c r="J9" s="5" t="s">
        <v>24</v>
      </c>
      <c r="K9" s="5" t="s">
        <v>25</v>
      </c>
    </row>
    <row r="10" spans="1:34" x14ac:dyDescent="0.25">
      <c r="A10" s="5" t="s">
        <v>34</v>
      </c>
      <c r="B10" s="5" t="s">
        <v>46</v>
      </c>
      <c r="C10" s="5" t="s">
        <v>36</v>
      </c>
      <c r="D10" s="5">
        <v>0.65763450890341801</v>
      </c>
      <c r="E10" s="5">
        <v>3.22236927923903E-3</v>
      </c>
      <c r="F10" s="5">
        <v>0.35550684632763602</v>
      </c>
      <c r="G10" s="5">
        <v>3.3533225709079799E-3</v>
      </c>
      <c r="H10" s="5">
        <v>0.286069506804084</v>
      </c>
      <c r="I10" s="5">
        <v>7.1308259157924301E-3</v>
      </c>
      <c r="J10" s="5">
        <v>0.81712701205054705</v>
      </c>
      <c r="K10" s="5">
        <v>2.5750444996011498E-3</v>
      </c>
    </row>
    <row r="11" spans="1:34" x14ac:dyDescent="0.25">
      <c r="A11" s="5" t="s">
        <v>34</v>
      </c>
      <c r="B11" s="5" t="s">
        <v>37</v>
      </c>
      <c r="C11" s="5" t="s">
        <v>38</v>
      </c>
      <c r="D11" s="5">
        <v>0.62887843948492705</v>
      </c>
      <c r="E11" s="5">
        <v>3.6655398338777899E-3</v>
      </c>
      <c r="F11" s="5">
        <v>0.26808888636800698</v>
      </c>
      <c r="G11" s="5">
        <v>4.8483060636997496E-3</v>
      </c>
      <c r="H11" s="5">
        <v>0.119563431992146</v>
      </c>
      <c r="I11" s="5">
        <v>2.3897540079351998E-3</v>
      </c>
      <c r="J11" s="5">
        <v>0.62923165590621599</v>
      </c>
      <c r="K11" s="5">
        <v>3.6738597281079301E-3</v>
      </c>
    </row>
    <row r="12" spans="1:34" x14ac:dyDescent="0.25">
      <c r="A12" s="5" t="s">
        <v>34</v>
      </c>
      <c r="B12" s="5" t="s">
        <v>39</v>
      </c>
      <c r="C12" s="5" t="s">
        <v>38</v>
      </c>
      <c r="D12" s="5">
        <v>0.74788973228943301</v>
      </c>
      <c r="E12" s="5">
        <v>2.6318784662047101E-3</v>
      </c>
      <c r="F12" s="5">
        <v>0.28958023789335902</v>
      </c>
      <c r="G12" s="5">
        <v>2.2831151316148801E-3</v>
      </c>
      <c r="H12" s="5">
        <v>0.31106649439532802</v>
      </c>
      <c r="I12" s="5">
        <v>8.3854740423005402E-3</v>
      </c>
      <c r="J12" s="5">
        <v>0.82293092990040095</v>
      </c>
      <c r="K12" s="5">
        <v>4.0668374568506001E-3</v>
      </c>
    </row>
    <row r="13" spans="1:34" x14ac:dyDescent="0.25">
      <c r="A13" s="5" t="s">
        <v>34</v>
      </c>
      <c r="B13" s="5" t="s">
        <v>40</v>
      </c>
      <c r="C13" s="5" t="s">
        <v>36</v>
      </c>
      <c r="D13" s="5">
        <v>0.66634384576292105</v>
      </c>
      <c r="E13" s="5">
        <v>3.76970232461177E-3</v>
      </c>
      <c r="F13" s="5">
        <v>0.37274665024394699</v>
      </c>
      <c r="G13" s="5">
        <v>4.8271332007704601E-3</v>
      </c>
      <c r="H13" s="5">
        <v>0.31172337824020202</v>
      </c>
      <c r="I13" s="5">
        <v>5.3453215854816598E-3</v>
      </c>
      <c r="J13" s="5">
        <v>0.83356972455873002</v>
      </c>
      <c r="K13" s="5">
        <v>1.7910027996583899E-3</v>
      </c>
    </row>
    <row r="14" spans="1:34" x14ac:dyDescent="0.25">
      <c r="A14" s="5" t="s">
        <v>34</v>
      </c>
      <c r="B14" s="5" t="s">
        <v>41</v>
      </c>
      <c r="C14" s="5" t="s">
        <v>38</v>
      </c>
      <c r="D14" s="5">
        <v>0.73728809603551604</v>
      </c>
      <c r="E14" s="5">
        <v>2.3712878109476902E-3</v>
      </c>
      <c r="F14" s="5">
        <v>0.27842914222502901</v>
      </c>
      <c r="G14" s="5">
        <v>1.37752066918861E-3</v>
      </c>
      <c r="H14" s="5">
        <v>0.27234198515180902</v>
      </c>
      <c r="I14" s="5">
        <v>4.7908474188130198E-3</v>
      </c>
      <c r="J14" s="5">
        <v>0.80531397048652598</v>
      </c>
      <c r="K14" s="5">
        <v>2.82046330377688E-3</v>
      </c>
    </row>
    <row r="15" spans="1:34" x14ac:dyDescent="0.25">
      <c r="A15" s="5" t="s">
        <v>34</v>
      </c>
      <c r="B15" s="5" t="s">
        <v>42</v>
      </c>
      <c r="C15" s="5" t="s">
        <v>36</v>
      </c>
      <c r="D15" s="5">
        <v>0.69980321733014905</v>
      </c>
      <c r="E15" s="5">
        <v>3.2451875260610099E-3</v>
      </c>
      <c r="F15" s="5">
        <v>0.409519062849653</v>
      </c>
      <c r="G15" s="5">
        <v>4.7673031853710801E-3</v>
      </c>
      <c r="H15" s="5">
        <v>0.344541131866344</v>
      </c>
      <c r="I15" s="5">
        <v>4.8753261698379702E-3</v>
      </c>
      <c r="J15" s="5">
        <v>0.849247421082992</v>
      </c>
      <c r="K15" s="5">
        <v>2.1546405108493001E-3</v>
      </c>
    </row>
    <row r="17" spans="1:11" x14ac:dyDescent="0.25">
      <c r="A17" s="5" t="s">
        <v>0</v>
      </c>
      <c r="B17" s="5" t="s">
        <v>1</v>
      </c>
      <c r="C17" s="5" t="s">
        <v>2</v>
      </c>
      <c r="D17" s="5" t="s">
        <v>4</v>
      </c>
      <c r="E17" s="5" t="s">
        <v>5</v>
      </c>
      <c r="F17" s="5" t="s">
        <v>19</v>
      </c>
      <c r="G17" s="5" t="s">
        <v>20</v>
      </c>
      <c r="H17" s="5" t="s">
        <v>29</v>
      </c>
      <c r="I17" s="5" t="s">
        <v>30</v>
      </c>
      <c r="J17" s="5" t="s">
        <v>24</v>
      </c>
      <c r="K17" s="5" t="s">
        <v>25</v>
      </c>
    </row>
    <row r="18" spans="1:11" x14ac:dyDescent="0.25">
      <c r="A18" s="5" t="s">
        <v>34</v>
      </c>
      <c r="B18" s="5" t="s">
        <v>46</v>
      </c>
      <c r="C18" s="5" t="s">
        <v>36</v>
      </c>
      <c r="D18" t="str">
        <f>+FIXED(D10,4)</f>
        <v>0.6576</v>
      </c>
      <c r="E18" t="str">
        <f t="shared" ref="E18:K18" si="0">+FIXED(E10,4)</f>
        <v>0.0032</v>
      </c>
      <c r="F18" t="str">
        <f t="shared" si="0"/>
        <v>0.3555</v>
      </c>
      <c r="G18" t="str">
        <f t="shared" si="0"/>
        <v>0.0034</v>
      </c>
      <c r="H18" t="str">
        <f t="shared" si="0"/>
        <v>0.2861</v>
      </c>
      <c r="I18" t="str">
        <f t="shared" si="0"/>
        <v>0.0071</v>
      </c>
      <c r="J18" t="str">
        <f t="shared" si="0"/>
        <v>0.8171</v>
      </c>
      <c r="K18" t="str">
        <f t="shared" si="0"/>
        <v>0.0026</v>
      </c>
    </row>
    <row r="19" spans="1:11" x14ac:dyDescent="0.25">
      <c r="A19" s="5" t="s">
        <v>34</v>
      </c>
      <c r="B19" s="5" t="s">
        <v>37</v>
      </c>
      <c r="C19" s="5" t="s">
        <v>38</v>
      </c>
      <c r="D19" t="str">
        <f t="shared" ref="D19:K19" si="1">+FIXED(D11,4)</f>
        <v>0.6289</v>
      </c>
      <c r="E19" t="str">
        <f t="shared" si="1"/>
        <v>0.0037</v>
      </c>
      <c r="F19" t="str">
        <f t="shared" si="1"/>
        <v>0.2681</v>
      </c>
      <c r="G19" t="str">
        <f t="shared" si="1"/>
        <v>0.0048</v>
      </c>
      <c r="H19" t="str">
        <f t="shared" si="1"/>
        <v>0.1196</v>
      </c>
      <c r="I19" t="str">
        <f t="shared" si="1"/>
        <v>0.0024</v>
      </c>
      <c r="J19" t="str">
        <f t="shared" si="1"/>
        <v>0.6292</v>
      </c>
      <c r="K19" t="str">
        <f t="shared" si="1"/>
        <v>0.0037</v>
      </c>
    </row>
    <row r="20" spans="1:11" x14ac:dyDescent="0.25">
      <c r="A20" s="5" t="s">
        <v>34</v>
      </c>
      <c r="B20" s="5" t="s">
        <v>39</v>
      </c>
      <c r="C20" s="5" t="s">
        <v>38</v>
      </c>
      <c r="D20" t="str">
        <f t="shared" ref="D20:K20" si="2">+FIXED(D12,4)</f>
        <v>0.7479</v>
      </c>
      <c r="E20" t="str">
        <f t="shared" si="2"/>
        <v>0.0026</v>
      </c>
      <c r="F20" t="str">
        <f t="shared" si="2"/>
        <v>0.2896</v>
      </c>
      <c r="G20" t="str">
        <f t="shared" si="2"/>
        <v>0.0023</v>
      </c>
      <c r="H20" t="str">
        <f t="shared" si="2"/>
        <v>0.3111</v>
      </c>
      <c r="I20" t="str">
        <f t="shared" si="2"/>
        <v>0.0084</v>
      </c>
      <c r="J20" t="str">
        <f t="shared" si="2"/>
        <v>0.8229</v>
      </c>
      <c r="K20" t="str">
        <f t="shared" si="2"/>
        <v>0.0041</v>
      </c>
    </row>
    <row r="21" spans="1:11" x14ac:dyDescent="0.25">
      <c r="A21" s="5" t="s">
        <v>34</v>
      </c>
      <c r="B21" s="5" t="s">
        <v>40</v>
      </c>
      <c r="C21" s="5" t="s">
        <v>36</v>
      </c>
      <c r="D21" t="str">
        <f t="shared" ref="D21:K21" si="3">+FIXED(D13,4)</f>
        <v>0.6663</v>
      </c>
      <c r="E21" t="str">
        <f t="shared" si="3"/>
        <v>0.0038</v>
      </c>
      <c r="F21" t="str">
        <f t="shared" si="3"/>
        <v>0.3727</v>
      </c>
      <c r="G21" t="str">
        <f t="shared" si="3"/>
        <v>0.0048</v>
      </c>
      <c r="H21" t="str">
        <f t="shared" si="3"/>
        <v>0.3117</v>
      </c>
      <c r="I21" t="str">
        <f t="shared" si="3"/>
        <v>0.0053</v>
      </c>
      <c r="J21" t="str">
        <f t="shared" si="3"/>
        <v>0.8336</v>
      </c>
      <c r="K21" t="str">
        <f t="shared" si="3"/>
        <v>0.0018</v>
      </c>
    </row>
    <row r="22" spans="1:11" x14ac:dyDescent="0.25">
      <c r="A22" s="5" t="s">
        <v>34</v>
      </c>
      <c r="B22" s="5" t="s">
        <v>41</v>
      </c>
      <c r="C22" s="5" t="s">
        <v>38</v>
      </c>
      <c r="D22" t="str">
        <f t="shared" ref="D22:K22" si="4">+FIXED(D14,4)</f>
        <v>0.7373</v>
      </c>
      <c r="E22" t="str">
        <f t="shared" si="4"/>
        <v>0.0024</v>
      </c>
      <c r="F22" t="str">
        <f t="shared" si="4"/>
        <v>0.2784</v>
      </c>
      <c r="G22" t="str">
        <f t="shared" si="4"/>
        <v>0.0014</v>
      </c>
      <c r="H22" t="str">
        <f t="shared" si="4"/>
        <v>0.2723</v>
      </c>
      <c r="I22" t="str">
        <f t="shared" si="4"/>
        <v>0.0048</v>
      </c>
      <c r="J22" t="str">
        <f t="shared" si="4"/>
        <v>0.8053</v>
      </c>
      <c r="K22" t="str">
        <f t="shared" si="4"/>
        <v>0.0028</v>
      </c>
    </row>
    <row r="23" spans="1:11" x14ac:dyDescent="0.25">
      <c r="A23" s="5" t="s">
        <v>34</v>
      </c>
      <c r="B23" s="5" t="s">
        <v>42</v>
      </c>
      <c r="C23" s="5" t="s">
        <v>36</v>
      </c>
      <c r="D23" t="str">
        <f t="shared" ref="D23:K23" si="5">+FIXED(D15,4)</f>
        <v>0.6998</v>
      </c>
      <c r="E23" t="str">
        <f t="shared" si="5"/>
        <v>0.0032</v>
      </c>
      <c r="F23" t="str">
        <f t="shared" si="5"/>
        <v>0.4095</v>
      </c>
      <c r="G23" t="str">
        <f t="shared" si="5"/>
        <v>0.0048</v>
      </c>
      <c r="H23" t="str">
        <f t="shared" si="5"/>
        <v>0.3445</v>
      </c>
      <c r="I23" t="str">
        <f t="shared" si="5"/>
        <v>0.0049</v>
      </c>
      <c r="J23" t="str">
        <f t="shared" si="5"/>
        <v>0.8492</v>
      </c>
      <c r="K23" t="str">
        <f t="shared" si="5"/>
        <v>0.0022</v>
      </c>
    </row>
    <row r="26" spans="1:11" s="14" customFormat="1" ht="25.5" x14ac:dyDescent="0.25">
      <c r="A26" s="13" t="s">
        <v>0</v>
      </c>
      <c r="B26" s="16" t="s">
        <v>44</v>
      </c>
      <c r="C26" s="16" t="s">
        <v>45</v>
      </c>
      <c r="D26" s="16" t="s">
        <v>43</v>
      </c>
      <c r="E26" s="16" t="s">
        <v>54</v>
      </c>
      <c r="F26" s="16" t="s">
        <v>48</v>
      </c>
      <c r="G26" s="17" t="s">
        <v>56</v>
      </c>
    </row>
    <row r="27" spans="1:11" x14ac:dyDescent="0.25">
      <c r="A27" s="1" t="s">
        <v>34</v>
      </c>
      <c r="B27" s="18" t="s">
        <v>46</v>
      </c>
      <c r="C27" s="18" t="s">
        <v>36</v>
      </c>
      <c r="D27" s="18" t="str">
        <f>+_xlfn.CONCAT(D18," ± ",E18)</f>
        <v>0.6576 ± 0.0032</v>
      </c>
      <c r="E27" s="18" t="str">
        <f>+_xlfn.CONCAT(F18," ± ",G18)</f>
        <v>0.3555 ± 0.0034</v>
      </c>
      <c r="F27" s="18" t="str">
        <f>+_xlfn.CONCAT(H18," ± ",I18)</f>
        <v>0.2861 ± 0.0071</v>
      </c>
      <c r="G27" s="18" t="str">
        <f>+_xlfn.CONCAT(J18," ± ",K18)</f>
        <v>0.8171 ± 0.0026</v>
      </c>
    </row>
    <row r="28" spans="1:11" x14ac:dyDescent="0.25">
      <c r="A28" s="1" t="s">
        <v>34</v>
      </c>
      <c r="B28" s="18" t="s">
        <v>37</v>
      </c>
      <c r="C28" s="18" t="s">
        <v>38</v>
      </c>
      <c r="D28" s="18" t="str">
        <f t="shared" ref="D28:D32" si="6">+_xlfn.CONCAT(D19," ± ",E19)</f>
        <v>0.6289 ± 0.0037</v>
      </c>
      <c r="E28" s="18" t="str">
        <f t="shared" ref="E28:E32" si="7">+_xlfn.CONCAT(F19," ± ",G19)</f>
        <v>0.2681 ± 0.0048</v>
      </c>
      <c r="F28" s="18" t="str">
        <f t="shared" ref="F28:F32" si="8">+_xlfn.CONCAT(H19," ± ",I19)</f>
        <v>0.1196 ± 0.0024</v>
      </c>
      <c r="G28" s="18" t="str">
        <f t="shared" ref="G28:G32" si="9">+_xlfn.CONCAT(J19," ± ",K19)</f>
        <v>0.6292 ± 0.0037</v>
      </c>
    </row>
    <row r="29" spans="1:11" x14ac:dyDescent="0.25">
      <c r="A29" s="1" t="s">
        <v>34</v>
      </c>
      <c r="B29" s="18" t="s">
        <v>39</v>
      </c>
      <c r="C29" s="18" t="s">
        <v>38</v>
      </c>
      <c r="D29" s="18" t="str">
        <f t="shared" si="6"/>
        <v>0.7479 ± 0.0026</v>
      </c>
      <c r="E29" s="18" t="str">
        <f t="shared" si="7"/>
        <v>0.2896 ± 0.0023</v>
      </c>
      <c r="F29" s="18" t="str">
        <f t="shared" si="8"/>
        <v>0.3111 ± 0.0084</v>
      </c>
      <c r="G29" s="18" t="str">
        <f t="shared" si="9"/>
        <v>0.8229 ± 0.0041</v>
      </c>
    </row>
    <row r="30" spans="1:11" x14ac:dyDescent="0.25">
      <c r="A30" s="1" t="s">
        <v>34</v>
      </c>
      <c r="B30" s="18" t="s">
        <v>40</v>
      </c>
      <c r="C30" s="18" t="s">
        <v>36</v>
      </c>
      <c r="D30" s="18" t="str">
        <f t="shared" si="6"/>
        <v>0.6663 ± 0.0038</v>
      </c>
      <c r="E30" s="18" t="str">
        <f t="shared" si="7"/>
        <v>0.3727 ± 0.0048</v>
      </c>
      <c r="F30" s="18" t="str">
        <f t="shared" si="8"/>
        <v>0.3117 ± 0.0053</v>
      </c>
      <c r="G30" s="18" t="str">
        <f t="shared" si="9"/>
        <v>0.8336 ± 0.0018</v>
      </c>
    </row>
    <row r="31" spans="1:11" x14ac:dyDescent="0.25">
      <c r="A31" s="1" t="s">
        <v>34</v>
      </c>
      <c r="B31" s="18" t="s">
        <v>41</v>
      </c>
      <c r="C31" s="18" t="s">
        <v>38</v>
      </c>
      <c r="D31" s="18" t="str">
        <f t="shared" si="6"/>
        <v>0.7373 ± 0.0024</v>
      </c>
      <c r="E31" s="18" t="str">
        <f t="shared" si="7"/>
        <v>0.2784 ± 0.0014</v>
      </c>
      <c r="F31" s="18" t="str">
        <f t="shared" si="8"/>
        <v>0.2723 ± 0.0048</v>
      </c>
      <c r="G31" s="18" t="str">
        <f t="shared" si="9"/>
        <v>0.8053 ± 0.0028</v>
      </c>
    </row>
    <row r="32" spans="1:11" x14ac:dyDescent="0.25">
      <c r="A32" s="1" t="s">
        <v>34</v>
      </c>
      <c r="B32" s="19" t="s">
        <v>42</v>
      </c>
      <c r="C32" s="19" t="s">
        <v>36</v>
      </c>
      <c r="D32" s="19" t="str">
        <f t="shared" si="6"/>
        <v>0.6998 ± 0.0032</v>
      </c>
      <c r="E32" s="19" t="str">
        <f t="shared" si="7"/>
        <v>0.4095 ± 0.0048</v>
      </c>
      <c r="F32" s="19" t="str">
        <f t="shared" si="8"/>
        <v>0.3445 ± 0.0049</v>
      </c>
      <c r="G32" s="19" t="str">
        <f t="shared" si="9"/>
        <v>0.8492 ± 0.0022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results_baseline_summary_12rows</vt:lpstr>
      <vt:lpstr>CP</vt:lpstr>
      <vt:lpstr>CD</vt:lpstr>
      <vt:lpstr>FASE5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2026-02-03T23:29:30Z</dcterms:created>
  <dcterms:modified xsi:type="dcterms:W3CDTF">2026-02-08T02:59:53Z</dcterms:modified>
</cp:coreProperties>
</file>