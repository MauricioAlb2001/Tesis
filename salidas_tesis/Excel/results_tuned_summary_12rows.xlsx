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la\Documents\Tesis\salidas_tesis\Excel\"/>
    </mc:Choice>
  </mc:AlternateContent>
  <xr:revisionPtr revIDLastSave="0" documentId="13_ncr:1_{4D55A597-9B93-42BB-A994-28785FF0645D}" xr6:coauthVersionLast="47" xr6:coauthVersionMax="47" xr10:uidLastSave="{00000000-0000-0000-0000-000000000000}"/>
  <bookViews>
    <workbookView xWindow="3210" yWindow="2310" windowWidth="28800" windowHeight="17430" activeTab="1" xr2:uid="{EBDDE815-62FA-435C-8AA2-4F9A0EC38DF9}"/>
  </bookViews>
  <sheets>
    <sheet name="results_tuned_summary_12rows" sheetId="1" r:id="rId1"/>
    <sheet name="CP" sheetId="2" r:id="rId2"/>
    <sheet name="ROBUSTEZ" sheetId="3" r:id="rId3"/>
    <sheet name="fase5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2" l="1"/>
  <c r="G23" i="2"/>
  <c r="F23" i="2"/>
  <c r="E23" i="2"/>
  <c r="H22" i="2"/>
  <c r="G22" i="2"/>
  <c r="F22" i="2"/>
  <c r="E22" i="2"/>
  <c r="H21" i="2"/>
  <c r="G21" i="2"/>
  <c r="E29" i="2" s="1"/>
  <c r="F21" i="2"/>
  <c r="E21" i="2"/>
  <c r="D29" i="2" s="1"/>
  <c r="H20" i="2"/>
  <c r="G20" i="2"/>
  <c r="F20" i="2"/>
  <c r="E20" i="2"/>
  <c r="H19" i="2"/>
  <c r="G19" i="2"/>
  <c r="F19" i="2"/>
  <c r="E19" i="2"/>
  <c r="H18" i="2"/>
  <c r="G18" i="2"/>
  <c r="F18" i="2"/>
  <c r="E18" i="2"/>
  <c r="L23" i="1"/>
  <c r="K23" i="1"/>
  <c r="J23" i="1"/>
  <c r="I23" i="1"/>
  <c r="H23" i="1"/>
  <c r="G23" i="1"/>
  <c r="F23" i="1"/>
  <c r="E23" i="1"/>
  <c r="L22" i="1"/>
  <c r="K22" i="1"/>
  <c r="J22" i="1"/>
  <c r="I22" i="1"/>
  <c r="F30" i="1" s="1"/>
  <c r="H22" i="1"/>
  <c r="G22" i="1"/>
  <c r="F22" i="1"/>
  <c r="E22" i="1"/>
  <c r="L21" i="1"/>
  <c r="K21" i="1"/>
  <c r="J21" i="1"/>
  <c r="I21" i="1"/>
  <c r="H21" i="1"/>
  <c r="G21" i="1"/>
  <c r="F21" i="1"/>
  <c r="E21" i="1"/>
  <c r="D29" i="1" s="1"/>
  <c r="L20" i="1"/>
  <c r="K20" i="1"/>
  <c r="J20" i="1"/>
  <c r="I20" i="1"/>
  <c r="F28" i="1" s="1"/>
  <c r="H20" i="1"/>
  <c r="G20" i="1"/>
  <c r="F20" i="1"/>
  <c r="E20" i="1"/>
  <c r="L19" i="1"/>
  <c r="K19" i="1"/>
  <c r="J19" i="1"/>
  <c r="I19" i="1"/>
  <c r="F27" i="1" s="1"/>
  <c r="H19" i="1"/>
  <c r="G19" i="1"/>
  <c r="F19" i="1"/>
  <c r="E19" i="1"/>
  <c r="L18" i="1"/>
  <c r="K18" i="1"/>
  <c r="J18" i="1"/>
  <c r="I18" i="1"/>
  <c r="H18" i="1"/>
  <c r="G18" i="1"/>
  <c r="F18" i="1"/>
  <c r="E18" i="1"/>
  <c r="D26" i="1" s="1"/>
  <c r="G32" i="4"/>
  <c r="G31" i="4"/>
  <c r="G30" i="4"/>
  <c r="G29" i="4"/>
  <c r="G28" i="4"/>
  <c r="G27" i="4"/>
  <c r="K23" i="4"/>
  <c r="J23" i="4"/>
  <c r="I23" i="4"/>
  <c r="H23" i="4"/>
  <c r="G23" i="4"/>
  <c r="F23" i="4"/>
  <c r="E23" i="4"/>
  <c r="D23" i="4"/>
  <c r="K22" i="4"/>
  <c r="J22" i="4"/>
  <c r="I22" i="4"/>
  <c r="H22" i="4"/>
  <c r="F31" i="4" s="1"/>
  <c r="G22" i="4"/>
  <c r="F22" i="4"/>
  <c r="E22" i="4"/>
  <c r="D22" i="4"/>
  <c r="K21" i="4"/>
  <c r="J21" i="4"/>
  <c r="I21" i="4"/>
  <c r="H21" i="4"/>
  <c r="G21" i="4"/>
  <c r="F21" i="4"/>
  <c r="E30" i="4" s="1"/>
  <c r="E21" i="4"/>
  <c r="D21" i="4"/>
  <c r="D30" i="4" s="1"/>
  <c r="K20" i="4"/>
  <c r="J20" i="4"/>
  <c r="I20" i="4"/>
  <c r="H20" i="4"/>
  <c r="G20" i="4"/>
  <c r="F20" i="4"/>
  <c r="E20" i="4"/>
  <c r="D20" i="4"/>
  <c r="K19" i="4"/>
  <c r="J19" i="4"/>
  <c r="I19" i="4"/>
  <c r="H19" i="4"/>
  <c r="F28" i="4" s="1"/>
  <c r="G19" i="4"/>
  <c r="F19" i="4"/>
  <c r="E19" i="4"/>
  <c r="D19" i="4"/>
  <c r="K18" i="4"/>
  <c r="J18" i="4"/>
  <c r="I18" i="4"/>
  <c r="H18" i="4"/>
  <c r="G18" i="4"/>
  <c r="F18" i="4"/>
  <c r="E27" i="4" s="1"/>
  <c r="E18" i="4"/>
  <c r="F32" i="4"/>
  <c r="E32" i="4"/>
  <c r="D32" i="4"/>
  <c r="F30" i="4"/>
  <c r="F29" i="4"/>
  <c r="D29" i="4"/>
  <c r="E28" i="4"/>
  <c r="D28" i="4"/>
  <c r="F27" i="4"/>
  <c r="D18" i="4"/>
  <c r="G7" i="3"/>
  <c r="G6" i="3"/>
  <c r="G5" i="3"/>
  <c r="G4" i="3"/>
  <c r="G3" i="3"/>
  <c r="G2" i="3"/>
  <c r="H23" i="3"/>
  <c r="G23" i="3"/>
  <c r="F23" i="3"/>
  <c r="E23" i="3"/>
  <c r="H22" i="3"/>
  <c r="G22" i="3"/>
  <c r="F22" i="3"/>
  <c r="E22" i="3"/>
  <c r="H21" i="3"/>
  <c r="G21" i="3"/>
  <c r="F21" i="3"/>
  <c r="E21" i="3"/>
  <c r="H20" i="3"/>
  <c r="G20" i="3"/>
  <c r="F20" i="3"/>
  <c r="E20" i="3"/>
  <c r="H19" i="3"/>
  <c r="G19" i="3"/>
  <c r="F19" i="3"/>
  <c r="E19" i="3"/>
  <c r="H18" i="3"/>
  <c r="G18" i="3"/>
  <c r="F18" i="3"/>
  <c r="E18" i="3"/>
  <c r="H17" i="3"/>
  <c r="G17" i="3"/>
  <c r="F17" i="3"/>
  <c r="E17" i="3"/>
  <c r="E17" i="2"/>
  <c r="F17" i="2"/>
  <c r="G17" i="2"/>
  <c r="H17" i="2"/>
  <c r="E31" i="2"/>
  <c r="D31" i="2"/>
  <c r="E30" i="2"/>
  <c r="D30" i="2"/>
  <c r="E28" i="2"/>
  <c r="D28" i="2"/>
  <c r="E27" i="2"/>
  <c r="D27" i="2"/>
  <c r="E26" i="2"/>
  <c r="D26" i="2"/>
  <c r="G27" i="1"/>
  <c r="G30" i="1"/>
  <c r="G28" i="1"/>
  <c r="F31" i="1"/>
  <c r="E31" i="1"/>
  <c r="D31" i="1"/>
  <c r="E30" i="1"/>
  <c r="F29" i="1"/>
  <c r="E29" i="1"/>
  <c r="E28" i="1"/>
  <c r="D28" i="1"/>
  <c r="E27" i="1"/>
  <c r="D27" i="1"/>
  <c r="F26" i="1"/>
  <c r="E26" i="1"/>
  <c r="E31" i="4" l="1"/>
  <c r="E29" i="4"/>
  <c r="D27" i="4"/>
  <c r="D31" i="4"/>
  <c r="G29" i="1"/>
  <c r="D30" i="1"/>
  <c r="G31" i="1"/>
  <c r="G26" i="1"/>
</calcChain>
</file>

<file path=xl/sharedStrings.xml><?xml version="1.0" encoding="utf-8"?>
<sst xmlns="http://schemas.openxmlformats.org/spreadsheetml/2006/main" count="468" uniqueCount="57">
  <si>
    <t>config</t>
  </si>
  <si>
    <t>model</t>
  </si>
  <si>
    <t>group</t>
  </si>
  <si>
    <t>n_seeds</t>
  </si>
  <si>
    <t>balanced_accuracy_mean</t>
  </si>
  <si>
    <t>balanced_accuracy_std</t>
  </si>
  <si>
    <t>balanced_accuracy_median</t>
  </si>
  <si>
    <t>balanced_accuracy_q1</t>
  </si>
  <si>
    <t>balanced_accuracy_q3</t>
  </si>
  <si>
    <t>precision_mean</t>
  </si>
  <si>
    <t>precision_std</t>
  </si>
  <si>
    <t>precision_median</t>
  </si>
  <si>
    <t>precision_q1</t>
  </si>
  <si>
    <t>precision_q3</t>
  </si>
  <si>
    <t>recall_mean</t>
  </si>
  <si>
    <t>recall_std</t>
  </si>
  <si>
    <t>recall_median</t>
  </si>
  <si>
    <t>recall_q1</t>
  </si>
  <si>
    <t>recall_q3</t>
  </si>
  <si>
    <t>f1_mean</t>
  </si>
  <si>
    <t>f1_std</t>
  </si>
  <si>
    <t>f1_median</t>
  </si>
  <si>
    <t>f1_q1</t>
  </si>
  <si>
    <t>f1_q3</t>
  </si>
  <si>
    <t>roc_auc_mean</t>
  </si>
  <si>
    <t>roc_auc_std</t>
  </si>
  <si>
    <t>roc_auc_median</t>
  </si>
  <si>
    <t>roc_auc_q1</t>
  </si>
  <si>
    <t>roc_auc_q3</t>
  </si>
  <si>
    <t>average_precision_mean</t>
  </si>
  <si>
    <t>average_precision_std</t>
  </si>
  <si>
    <t>average_precision_median</t>
  </si>
  <si>
    <t>average_precision_q1</t>
  </si>
  <si>
    <t>average_precision_q3</t>
  </si>
  <si>
    <t>Tuned</t>
  </si>
  <si>
    <t>Bagging (Decision Tree)</t>
  </si>
  <si>
    <t>Ensemble</t>
  </si>
  <si>
    <t>Decision Tree</t>
  </si>
  <si>
    <t>No Ensemble</t>
  </si>
  <si>
    <t>Logistic Regression</t>
  </si>
  <si>
    <t>Random Forest</t>
  </si>
  <si>
    <t>SVM (Lineal)</t>
  </si>
  <si>
    <t>XGBoost</t>
  </si>
  <si>
    <t>BA (mean ± std)</t>
  </si>
  <si>
    <t>Precision (mean ± std)</t>
  </si>
  <si>
    <t>Recall (mean ± std)</t>
  </si>
  <si>
    <t>F1 (mean ± std)</t>
  </si>
  <si>
    <t>Bagging (DT)</t>
  </si>
  <si>
    <t>AUC ROC (mean ± std)</t>
  </si>
  <si>
    <t>AP (mean ± std)</t>
  </si>
  <si>
    <t>Modelo</t>
  </si>
  <si>
    <t>Grupo</t>
  </si>
  <si>
    <t>IRQ (Q3 - Q1)</t>
  </si>
  <si>
    <t>AP Q3</t>
  </si>
  <si>
    <t>AP Q1</t>
  </si>
  <si>
    <t>AP STD</t>
  </si>
  <si>
    <t>ROC AUC (mean ± std)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</si>
</sst>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0" xfId="0" applyFont="1" applyAlignment="1">
      <alignment horizontal="center"/>
    </xf>
    <xf numFmtId="0" fontId="18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10" xfId="0" applyFont="1" applyBorder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/>
    <xf numFmtId="0" fontId="18" fillId="0" borderId="10" xfId="0" applyFont="1" applyBorder="1"/>
    <xf numFmtId="164" fontId="18" fillId="0" borderId="10" xfId="0" applyNumberFormat="1" applyFont="1" applyBorder="1" applyAlignment="1">
      <alignment horizontal="center"/>
    </xf>
    <xf numFmtId="0" fontId="18" fillId="0" borderId="11" xfId="0" applyFont="1" applyBorder="1"/>
    <xf numFmtId="0" fontId="18" fillId="0" borderId="11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6" fillId="0" borderId="0" xfId="0" applyFont="1"/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6294D-078F-4DBD-A160-30FE53C3E6F6}">
  <dimension ref="A1:AH31"/>
  <sheetViews>
    <sheetView topLeftCell="A10" zoomScale="130" zoomScaleNormal="130" workbookViewId="0">
      <selection activeCell="D26" sqref="D26"/>
    </sheetView>
  </sheetViews>
  <sheetFormatPr baseColWidth="10" defaultRowHeight="15" x14ac:dyDescent="0.25"/>
  <cols>
    <col min="1" max="1" width="10.140625" customWidth="1"/>
    <col min="2" max="2" width="13.28515625" customWidth="1"/>
    <col min="3" max="3" width="12.5703125" bestFit="1" customWidth="1"/>
    <col min="4" max="4" width="14" customWidth="1"/>
    <col min="5" max="5" width="15.28515625" customWidth="1"/>
    <col min="6" max="6" width="15.5703125" customWidth="1"/>
    <col min="7" max="7" width="15.28515625" customWidth="1"/>
    <col min="8" max="8" width="15" customWidth="1"/>
    <col min="9" max="9" width="21.42578125" bestFit="1" customWidth="1"/>
    <col min="10" max="10" width="15.140625" bestFit="1" customWidth="1"/>
    <col min="11" max="11" width="12.85546875" bestFit="1" customWidth="1"/>
    <col min="12" max="12" width="17" bestFit="1" customWidth="1"/>
    <col min="13" max="14" width="12.28515625" bestFit="1" customWidth="1"/>
    <col min="15" max="16" width="12" bestFit="1" customWidth="1"/>
    <col min="17" max="17" width="13.5703125" bestFit="1" customWidth="1"/>
    <col min="18" max="24" width="12" bestFit="1" customWidth="1"/>
    <col min="25" max="25" width="13.85546875" bestFit="1" customWidth="1"/>
    <col min="26" max="26" width="12" bestFit="1" customWidth="1"/>
    <col min="27" max="27" width="15.5703125" bestFit="1" customWidth="1"/>
    <col min="28" max="29" width="12" bestFit="1" customWidth="1"/>
    <col min="30" max="30" width="23.140625" bestFit="1" customWidth="1"/>
    <col min="31" max="31" width="20.7109375" bestFit="1" customWidth="1"/>
    <col min="32" max="32" width="24.85546875" bestFit="1" customWidth="1"/>
    <col min="33" max="34" width="20.14062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>
        <v>10</v>
      </c>
      <c r="E2">
        <v>0.77352533334616902</v>
      </c>
      <c r="F2">
        <v>3.4764472759837698E-3</v>
      </c>
      <c r="G2">
        <v>0.77378935906738</v>
      </c>
      <c r="H2">
        <v>0.77019175764988601</v>
      </c>
      <c r="I2">
        <v>0.77556189939167697</v>
      </c>
      <c r="J2">
        <v>0.23692082174460399</v>
      </c>
      <c r="K2">
        <v>4.4643407709405699E-3</v>
      </c>
      <c r="L2">
        <v>0.23565469225097399</v>
      </c>
      <c r="M2">
        <v>0.2339929033739</v>
      </c>
      <c r="N2">
        <v>0.23944991966967699</v>
      </c>
      <c r="O2">
        <v>0.71123670212765899</v>
      </c>
      <c r="P2">
        <v>1.0280439386631E-2</v>
      </c>
      <c r="Q2">
        <v>0.70861037234042501</v>
      </c>
      <c r="R2">
        <v>0.70304188829787195</v>
      </c>
      <c r="S2">
        <v>0.72066156914893598</v>
      </c>
      <c r="T2">
        <v>0.35539097872583197</v>
      </c>
      <c r="U2">
        <v>4.5048280871877898E-3</v>
      </c>
      <c r="V2">
        <v>0.35424159021206503</v>
      </c>
      <c r="W2">
        <v>0.35181880069774901</v>
      </c>
      <c r="X2">
        <v>0.35851895784330401</v>
      </c>
      <c r="Y2">
        <v>0.85725758094626903</v>
      </c>
      <c r="Z2">
        <v>2.3663512721234098E-3</v>
      </c>
      <c r="AA2">
        <v>0.85599081467645299</v>
      </c>
      <c r="AB2">
        <v>0.855805461053181</v>
      </c>
      <c r="AC2">
        <v>0.85944173260870604</v>
      </c>
      <c r="AD2">
        <v>0.37614592209398401</v>
      </c>
      <c r="AE2">
        <v>6.9135734835795602E-3</v>
      </c>
      <c r="AF2">
        <v>0.37418131262594601</v>
      </c>
      <c r="AG2">
        <v>0.36984392627040003</v>
      </c>
      <c r="AH2">
        <v>0.38264145338371902</v>
      </c>
    </row>
    <row r="3" spans="1:34" x14ac:dyDescent="0.25">
      <c r="A3" t="s">
        <v>34</v>
      </c>
      <c r="B3" t="s">
        <v>37</v>
      </c>
      <c r="C3" t="s">
        <v>38</v>
      </c>
      <c r="D3">
        <v>10</v>
      </c>
      <c r="E3">
        <v>0.75373000378998201</v>
      </c>
      <c r="F3">
        <v>4.2269615579461697E-3</v>
      </c>
      <c r="G3">
        <v>0.75366839441048505</v>
      </c>
      <c r="H3">
        <v>0.75293119567100897</v>
      </c>
      <c r="I3">
        <v>0.75498877635760397</v>
      </c>
      <c r="J3">
        <v>0.206345264379107</v>
      </c>
      <c r="K3">
        <v>1.16482454133854E-2</v>
      </c>
      <c r="L3">
        <v>0.20828281120306899</v>
      </c>
      <c r="M3">
        <v>0.19746199666181799</v>
      </c>
      <c r="N3">
        <v>0.210449427463551</v>
      </c>
      <c r="O3">
        <v>0.70199468085106298</v>
      </c>
      <c r="P3">
        <v>2.6112633422624602E-2</v>
      </c>
      <c r="Q3">
        <v>0.70711436170212705</v>
      </c>
      <c r="R3">
        <v>0.69232047872340396</v>
      </c>
      <c r="S3">
        <v>0.72041223404255295</v>
      </c>
      <c r="T3">
        <v>0.31850517392500999</v>
      </c>
      <c r="U3">
        <v>1.1254977762803301E-2</v>
      </c>
      <c r="V3">
        <v>0.32096372877113299</v>
      </c>
      <c r="W3">
        <v>0.30995498052692699</v>
      </c>
      <c r="X3">
        <v>0.32346672079206601</v>
      </c>
      <c r="Y3">
        <v>0.83039628218508099</v>
      </c>
      <c r="Z3">
        <v>5.2048659940407199E-3</v>
      </c>
      <c r="AA3">
        <v>0.82935851565128405</v>
      </c>
      <c r="AB3">
        <v>0.82689518154483799</v>
      </c>
      <c r="AC3">
        <v>0.83324659238854504</v>
      </c>
      <c r="AD3">
        <v>0.32935024235239002</v>
      </c>
      <c r="AE3">
        <v>8.9416926403643703E-3</v>
      </c>
      <c r="AF3">
        <v>0.32832506613652201</v>
      </c>
      <c r="AG3">
        <v>0.32462903621587802</v>
      </c>
      <c r="AH3">
        <v>0.33200602742964802</v>
      </c>
    </row>
    <row r="4" spans="1:34" x14ac:dyDescent="0.25">
      <c r="A4" t="s">
        <v>34</v>
      </c>
      <c r="B4" t="s">
        <v>39</v>
      </c>
      <c r="C4" t="s">
        <v>38</v>
      </c>
      <c r="D4">
        <v>10</v>
      </c>
      <c r="E4">
        <v>0.75346024939400802</v>
      </c>
      <c r="F4">
        <v>2.5399252856549998E-3</v>
      </c>
      <c r="G4">
        <v>0.75434837765450702</v>
      </c>
      <c r="H4">
        <v>0.75278532663769804</v>
      </c>
      <c r="I4">
        <v>0.75493099876166803</v>
      </c>
      <c r="J4">
        <v>0.18993016659390499</v>
      </c>
      <c r="K4">
        <v>1.71204341442946E-3</v>
      </c>
      <c r="L4">
        <v>0.19009887091453001</v>
      </c>
      <c r="M4">
        <v>0.189136351403171</v>
      </c>
      <c r="N4">
        <v>0.19062920907443101</v>
      </c>
      <c r="O4">
        <v>0.72995345744680795</v>
      </c>
      <c r="P4">
        <v>5.9181134685755404E-3</v>
      </c>
      <c r="Q4">
        <v>0.72972074468085102</v>
      </c>
      <c r="R4">
        <v>0.72747672872340396</v>
      </c>
      <c r="S4">
        <v>0.73346077127659504</v>
      </c>
      <c r="T4">
        <v>0.3014242128522</v>
      </c>
      <c r="U4">
        <v>2.2780962391970899E-3</v>
      </c>
      <c r="V4">
        <v>0.30157412262868399</v>
      </c>
      <c r="W4">
        <v>0.30100204290918098</v>
      </c>
      <c r="X4">
        <v>0.30214923574946401</v>
      </c>
      <c r="Y4">
        <v>0.83301661808112804</v>
      </c>
      <c r="Z4">
        <v>3.2867873595698299E-3</v>
      </c>
      <c r="AA4">
        <v>0.83344770560717196</v>
      </c>
      <c r="AB4">
        <v>0.83222675210995101</v>
      </c>
      <c r="AC4">
        <v>0.83472084241508204</v>
      </c>
      <c r="AD4">
        <v>0.33186209958622798</v>
      </c>
      <c r="AE4">
        <v>7.38005468850689E-3</v>
      </c>
      <c r="AF4">
        <v>0.33185578344232303</v>
      </c>
      <c r="AG4">
        <v>0.32882119442747398</v>
      </c>
      <c r="AH4">
        <v>0.33654050410289299</v>
      </c>
    </row>
    <row r="5" spans="1:34" x14ac:dyDescent="0.25">
      <c r="A5" t="s">
        <v>34</v>
      </c>
      <c r="B5" t="s">
        <v>40</v>
      </c>
      <c r="C5" t="s">
        <v>36</v>
      </c>
      <c r="D5">
        <v>10</v>
      </c>
      <c r="E5">
        <v>0.77412230939125104</v>
      </c>
      <c r="F5">
        <v>3.8770120041736801E-3</v>
      </c>
      <c r="G5">
        <v>0.77342241037299897</v>
      </c>
      <c r="H5">
        <v>0.77096274575349699</v>
      </c>
      <c r="I5">
        <v>0.77719019364884001</v>
      </c>
      <c r="J5">
        <v>0.23701613134934299</v>
      </c>
      <c r="K5">
        <v>2.2727174731492199E-3</v>
      </c>
      <c r="L5">
        <v>0.237371062628946</v>
      </c>
      <c r="M5">
        <v>0.23628973640873599</v>
      </c>
      <c r="N5">
        <v>0.23886533234982399</v>
      </c>
      <c r="O5">
        <v>0.71259973404255295</v>
      </c>
      <c r="P5">
        <v>1.1236997194917201E-2</v>
      </c>
      <c r="Q5">
        <v>0.71160239361702105</v>
      </c>
      <c r="R5">
        <v>0.70387300531914898</v>
      </c>
      <c r="S5">
        <v>0.72398603723404198</v>
      </c>
      <c r="T5">
        <v>0.35568765920427903</v>
      </c>
      <c r="U5">
        <v>2.1772062156698198E-3</v>
      </c>
      <c r="V5">
        <v>0.355800840188013</v>
      </c>
      <c r="W5">
        <v>0.35507139047276198</v>
      </c>
      <c r="X5">
        <v>0.35685689224716599</v>
      </c>
      <c r="Y5">
        <v>0.85717469448017902</v>
      </c>
      <c r="Z5">
        <v>2.7448290028829398E-3</v>
      </c>
      <c r="AA5">
        <v>0.85581792919396005</v>
      </c>
      <c r="AB5">
        <v>0.85491888213161404</v>
      </c>
      <c r="AC5">
        <v>0.85902271144035003</v>
      </c>
      <c r="AD5">
        <v>0.37316174379480599</v>
      </c>
      <c r="AE5">
        <v>8.2051866870005499E-3</v>
      </c>
      <c r="AF5">
        <v>0.374151110701677</v>
      </c>
      <c r="AG5">
        <v>0.36553809189382303</v>
      </c>
      <c r="AH5">
        <v>0.37974533745896799</v>
      </c>
    </row>
    <row r="6" spans="1:34" x14ac:dyDescent="0.25">
      <c r="A6" t="s">
        <v>34</v>
      </c>
      <c r="B6" t="s">
        <v>41</v>
      </c>
      <c r="C6" t="s">
        <v>38</v>
      </c>
      <c r="D6">
        <v>10</v>
      </c>
      <c r="E6">
        <v>0.73728928673850702</v>
      </c>
      <c r="F6">
        <v>2.3733428715109902E-3</v>
      </c>
      <c r="G6">
        <v>0.73731081122848097</v>
      </c>
      <c r="H6">
        <v>0.735428415886207</v>
      </c>
      <c r="I6">
        <v>0.738275652745913</v>
      </c>
      <c r="J6">
        <v>0.172397986299206</v>
      </c>
      <c r="K6">
        <v>8.2312612535987198E-4</v>
      </c>
      <c r="L6">
        <v>0.172298290957905</v>
      </c>
      <c r="M6">
        <v>0.17203927105703901</v>
      </c>
      <c r="N6">
        <v>0.17291805634594301</v>
      </c>
      <c r="O6">
        <v>0.72330452127659495</v>
      </c>
      <c r="P6">
        <v>5.6047942214052602E-3</v>
      </c>
      <c r="Q6">
        <v>0.72240691489361697</v>
      </c>
      <c r="R6">
        <v>0.71899933510638303</v>
      </c>
      <c r="S6">
        <v>0.72631316489361697</v>
      </c>
      <c r="T6">
        <v>0.278430944428046</v>
      </c>
      <c r="U6">
        <v>1.3816126187571999E-3</v>
      </c>
      <c r="V6">
        <v>0.27834546176133301</v>
      </c>
      <c r="W6">
        <v>0.27757605180095002</v>
      </c>
      <c r="X6">
        <v>0.27946195808233698</v>
      </c>
      <c r="Y6">
        <v>0.80531385173290304</v>
      </c>
      <c r="Z6">
        <v>2.8201796788702299E-3</v>
      </c>
      <c r="AA6">
        <v>0.80543422871770398</v>
      </c>
      <c r="AB6">
        <v>0.80323185965576505</v>
      </c>
      <c r="AC6">
        <v>0.80743676907936801</v>
      </c>
      <c r="AD6">
        <v>0.27233893715242902</v>
      </c>
      <c r="AE6">
        <v>4.7868596332372101E-3</v>
      </c>
      <c r="AF6">
        <v>0.27180517510306101</v>
      </c>
      <c r="AG6">
        <v>0.26885905677630401</v>
      </c>
      <c r="AH6">
        <v>0.27630396441142002</v>
      </c>
    </row>
    <row r="7" spans="1:34" x14ac:dyDescent="0.25">
      <c r="A7" t="s">
        <v>34</v>
      </c>
      <c r="B7" t="s">
        <v>42</v>
      </c>
      <c r="C7" t="s">
        <v>36</v>
      </c>
      <c r="D7">
        <v>10</v>
      </c>
      <c r="E7">
        <v>0.76185649470213102</v>
      </c>
      <c r="F7">
        <v>5.5187567819795702E-3</v>
      </c>
      <c r="G7">
        <v>0.76106718845636201</v>
      </c>
      <c r="H7">
        <v>0.75858764448040705</v>
      </c>
      <c r="I7">
        <v>0.76566074484045599</v>
      </c>
      <c r="J7">
        <v>0.27003775214366399</v>
      </c>
      <c r="K7">
        <v>4.8280735486512299E-3</v>
      </c>
      <c r="L7">
        <v>0.26970961462158499</v>
      </c>
      <c r="M7">
        <v>0.26650577510553802</v>
      </c>
      <c r="N7">
        <v>0.27338682282097798</v>
      </c>
      <c r="O7">
        <v>0.64953457446808505</v>
      </c>
      <c r="P7">
        <v>1.3052553975503599E-2</v>
      </c>
      <c r="Q7">
        <v>0.64611037234042501</v>
      </c>
      <c r="R7">
        <v>0.64104055851063801</v>
      </c>
      <c r="S7">
        <v>0.66248337765957399</v>
      </c>
      <c r="T7">
        <v>0.381429316406248</v>
      </c>
      <c r="U7">
        <v>5.3857325074069999E-3</v>
      </c>
      <c r="V7">
        <v>0.38085428826194001</v>
      </c>
      <c r="W7">
        <v>0.37829459680965599</v>
      </c>
      <c r="X7">
        <v>0.38387505647092901</v>
      </c>
      <c r="Y7">
        <v>0.854933207579052</v>
      </c>
      <c r="Z7">
        <v>2.9584191142768301E-3</v>
      </c>
      <c r="AA7">
        <v>0.853442108590592</v>
      </c>
      <c r="AB7">
        <v>0.85280458174593998</v>
      </c>
      <c r="AC7">
        <v>0.85699798988117704</v>
      </c>
      <c r="AD7">
        <v>0.364233828000118</v>
      </c>
      <c r="AE7">
        <v>6.3439270628033798E-3</v>
      </c>
      <c r="AF7">
        <v>0.36219594003758399</v>
      </c>
      <c r="AG7">
        <v>0.36024514201352897</v>
      </c>
      <c r="AH7">
        <v>0.37017199411088297</v>
      </c>
    </row>
    <row r="9" spans="1:34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9</v>
      </c>
      <c r="H9" t="s">
        <v>10</v>
      </c>
      <c r="I9" t="s">
        <v>14</v>
      </c>
      <c r="J9" t="s">
        <v>15</v>
      </c>
      <c r="K9" t="s">
        <v>20</v>
      </c>
      <c r="L9" t="s">
        <v>20</v>
      </c>
    </row>
    <row r="10" spans="1:34" x14ac:dyDescent="0.25">
      <c r="A10" t="s">
        <v>34</v>
      </c>
      <c r="B10" t="s">
        <v>35</v>
      </c>
      <c r="C10" t="s">
        <v>36</v>
      </c>
      <c r="D10">
        <v>10</v>
      </c>
      <c r="E10">
        <v>0.77352533334616902</v>
      </c>
      <c r="F10">
        <v>3.4764472759837698E-3</v>
      </c>
      <c r="G10">
        <v>0.23692082174460399</v>
      </c>
      <c r="H10">
        <v>4.4643407709405699E-3</v>
      </c>
      <c r="I10">
        <v>0.71123670212765899</v>
      </c>
      <c r="J10">
        <v>1.0280439386631E-2</v>
      </c>
      <c r="K10">
        <v>0.35539097872583197</v>
      </c>
      <c r="L10">
        <v>4.5048280871877898E-3</v>
      </c>
    </row>
    <row r="11" spans="1:34" x14ac:dyDescent="0.25">
      <c r="A11" t="s">
        <v>34</v>
      </c>
      <c r="B11" t="s">
        <v>37</v>
      </c>
      <c r="C11" t="s">
        <v>38</v>
      </c>
      <c r="D11">
        <v>10</v>
      </c>
      <c r="E11">
        <v>0.75373000378998201</v>
      </c>
      <c r="F11">
        <v>4.2269615579461697E-3</v>
      </c>
      <c r="G11">
        <v>0.206345264379107</v>
      </c>
      <c r="H11">
        <v>1.16482454133854E-2</v>
      </c>
      <c r="I11">
        <v>0.70199468085106298</v>
      </c>
      <c r="J11">
        <v>2.6112633422624602E-2</v>
      </c>
      <c r="K11">
        <v>0.31850517392500999</v>
      </c>
      <c r="L11">
        <v>1.1254977762803301E-2</v>
      </c>
    </row>
    <row r="12" spans="1:34" x14ac:dyDescent="0.25">
      <c r="A12" t="s">
        <v>34</v>
      </c>
      <c r="B12" t="s">
        <v>39</v>
      </c>
      <c r="C12" t="s">
        <v>38</v>
      </c>
      <c r="D12">
        <v>10</v>
      </c>
      <c r="E12">
        <v>0.75346024939400802</v>
      </c>
      <c r="F12">
        <v>2.5399252856549998E-3</v>
      </c>
      <c r="G12">
        <v>0.18993016659390499</v>
      </c>
      <c r="H12">
        <v>1.71204341442946E-3</v>
      </c>
      <c r="I12">
        <v>0.72995345744680795</v>
      </c>
      <c r="J12">
        <v>5.9181134685755404E-3</v>
      </c>
      <c r="K12">
        <v>0.3014242128522</v>
      </c>
      <c r="L12">
        <v>2.2780962391970899E-3</v>
      </c>
    </row>
    <row r="13" spans="1:34" x14ac:dyDescent="0.25">
      <c r="A13" t="s">
        <v>34</v>
      </c>
      <c r="B13" t="s">
        <v>40</v>
      </c>
      <c r="C13" t="s">
        <v>36</v>
      </c>
      <c r="D13">
        <v>10</v>
      </c>
      <c r="E13">
        <v>0.77412230939125104</v>
      </c>
      <c r="F13">
        <v>3.8770120041736801E-3</v>
      </c>
      <c r="G13">
        <v>0.23701613134934299</v>
      </c>
      <c r="H13">
        <v>2.2727174731492199E-3</v>
      </c>
      <c r="I13">
        <v>0.71259973404255295</v>
      </c>
      <c r="J13">
        <v>1.1236997194917201E-2</v>
      </c>
      <c r="K13">
        <v>0.35568765920427903</v>
      </c>
      <c r="L13">
        <v>2.1772062156698198E-3</v>
      </c>
    </row>
    <row r="14" spans="1:34" x14ac:dyDescent="0.25">
      <c r="A14" t="s">
        <v>34</v>
      </c>
      <c r="B14" t="s">
        <v>41</v>
      </c>
      <c r="C14" t="s">
        <v>38</v>
      </c>
      <c r="D14">
        <v>10</v>
      </c>
      <c r="E14">
        <v>0.73728928673850702</v>
      </c>
      <c r="F14">
        <v>2.3733428715109902E-3</v>
      </c>
      <c r="G14">
        <v>0.172397986299206</v>
      </c>
      <c r="H14">
        <v>8.2312612535987198E-4</v>
      </c>
      <c r="I14">
        <v>0.72330452127659495</v>
      </c>
      <c r="J14">
        <v>5.6047942214052602E-3</v>
      </c>
      <c r="K14">
        <v>0.278430944428046</v>
      </c>
      <c r="L14">
        <v>1.3816126187571999E-3</v>
      </c>
    </row>
    <row r="15" spans="1:34" x14ac:dyDescent="0.25">
      <c r="A15" t="s">
        <v>34</v>
      </c>
      <c r="B15" t="s">
        <v>42</v>
      </c>
      <c r="C15" t="s">
        <v>36</v>
      </c>
      <c r="D15">
        <v>10</v>
      </c>
      <c r="E15">
        <v>0.76185649470213102</v>
      </c>
      <c r="F15">
        <v>5.5187567819795702E-3</v>
      </c>
      <c r="G15">
        <v>0.27003775214366399</v>
      </c>
      <c r="H15">
        <v>4.8280735486512299E-3</v>
      </c>
      <c r="I15">
        <v>0.64953457446808505</v>
      </c>
      <c r="J15">
        <v>1.3052553975503599E-2</v>
      </c>
      <c r="K15">
        <v>0.381429316406248</v>
      </c>
      <c r="L15">
        <v>5.3857325074069999E-3</v>
      </c>
    </row>
    <row r="17" spans="1:12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9</v>
      </c>
      <c r="H17" t="s">
        <v>10</v>
      </c>
      <c r="I17" t="s">
        <v>14</v>
      </c>
      <c r="J17" t="s">
        <v>15</v>
      </c>
      <c r="K17" t="s">
        <v>20</v>
      </c>
      <c r="L17" t="s">
        <v>20</v>
      </c>
    </row>
    <row r="18" spans="1:12" x14ac:dyDescent="0.25">
      <c r="A18" t="s">
        <v>34</v>
      </c>
      <c r="B18" t="s">
        <v>35</v>
      </c>
      <c r="C18" t="s">
        <v>36</v>
      </c>
      <c r="D18">
        <v>10</v>
      </c>
      <c r="E18" t="str">
        <f>+FIXED(E10,4)</f>
        <v>0.7735</v>
      </c>
      <c r="F18" t="str">
        <f t="shared" ref="F18:L18" si="0">+FIXED(F10,4)</f>
        <v>0.0035</v>
      </c>
      <c r="G18" t="str">
        <f t="shared" si="0"/>
        <v>0.2369</v>
      </c>
      <c r="H18" t="str">
        <f t="shared" si="0"/>
        <v>0.0045</v>
      </c>
      <c r="I18" t="str">
        <f t="shared" si="0"/>
        <v>0.7112</v>
      </c>
      <c r="J18" t="str">
        <f t="shared" si="0"/>
        <v>0.0103</v>
      </c>
      <c r="K18" t="str">
        <f t="shared" si="0"/>
        <v>0.3554</v>
      </c>
      <c r="L18" t="str">
        <f t="shared" si="0"/>
        <v>0.0045</v>
      </c>
    </row>
    <row r="19" spans="1:12" x14ac:dyDescent="0.25">
      <c r="A19" t="s">
        <v>34</v>
      </c>
      <c r="B19" t="s">
        <v>37</v>
      </c>
      <c r="C19" t="s">
        <v>38</v>
      </c>
      <c r="D19">
        <v>10</v>
      </c>
      <c r="E19" t="str">
        <f t="shared" ref="E19:L19" si="1">+FIXED(E11,4)</f>
        <v>0.7537</v>
      </c>
      <c r="F19" t="str">
        <f t="shared" si="1"/>
        <v>0.0042</v>
      </c>
      <c r="G19" t="str">
        <f t="shared" si="1"/>
        <v>0.2063</v>
      </c>
      <c r="H19" t="str">
        <f t="shared" si="1"/>
        <v>0.0116</v>
      </c>
      <c r="I19" t="str">
        <f t="shared" si="1"/>
        <v>0.7020</v>
      </c>
      <c r="J19" t="str">
        <f t="shared" si="1"/>
        <v>0.0261</v>
      </c>
      <c r="K19" t="str">
        <f t="shared" si="1"/>
        <v>0.3185</v>
      </c>
      <c r="L19" t="str">
        <f t="shared" si="1"/>
        <v>0.0113</v>
      </c>
    </row>
    <row r="20" spans="1:12" x14ac:dyDescent="0.25">
      <c r="A20" t="s">
        <v>34</v>
      </c>
      <c r="B20" t="s">
        <v>39</v>
      </c>
      <c r="C20" t="s">
        <v>38</v>
      </c>
      <c r="D20">
        <v>10</v>
      </c>
      <c r="E20" t="str">
        <f t="shared" ref="E20:L20" si="2">+FIXED(E12,4)</f>
        <v>0.7535</v>
      </c>
      <c r="F20" t="str">
        <f t="shared" si="2"/>
        <v>0.0025</v>
      </c>
      <c r="G20" t="str">
        <f t="shared" si="2"/>
        <v>0.1899</v>
      </c>
      <c r="H20" t="str">
        <f t="shared" si="2"/>
        <v>0.0017</v>
      </c>
      <c r="I20" t="str">
        <f t="shared" si="2"/>
        <v>0.7300</v>
      </c>
      <c r="J20" t="str">
        <f t="shared" si="2"/>
        <v>0.0059</v>
      </c>
      <c r="K20" t="str">
        <f t="shared" si="2"/>
        <v>0.3014</v>
      </c>
      <c r="L20" t="str">
        <f t="shared" si="2"/>
        <v>0.0023</v>
      </c>
    </row>
    <row r="21" spans="1:12" x14ac:dyDescent="0.25">
      <c r="A21" t="s">
        <v>34</v>
      </c>
      <c r="B21" t="s">
        <v>40</v>
      </c>
      <c r="C21" t="s">
        <v>36</v>
      </c>
      <c r="D21">
        <v>10</v>
      </c>
      <c r="E21" t="str">
        <f t="shared" ref="E21:L21" si="3">+FIXED(E13,4)</f>
        <v>0.7741</v>
      </c>
      <c r="F21" t="str">
        <f t="shared" si="3"/>
        <v>0.0039</v>
      </c>
      <c r="G21" t="str">
        <f t="shared" si="3"/>
        <v>0.2370</v>
      </c>
      <c r="H21" t="str">
        <f t="shared" si="3"/>
        <v>0.0023</v>
      </c>
      <c r="I21" t="str">
        <f t="shared" si="3"/>
        <v>0.7126</v>
      </c>
      <c r="J21" t="str">
        <f t="shared" si="3"/>
        <v>0.0112</v>
      </c>
      <c r="K21" t="str">
        <f t="shared" si="3"/>
        <v>0.3557</v>
      </c>
      <c r="L21" t="str">
        <f t="shared" si="3"/>
        <v>0.0022</v>
      </c>
    </row>
    <row r="22" spans="1:12" x14ac:dyDescent="0.25">
      <c r="A22" t="s">
        <v>34</v>
      </c>
      <c r="B22" t="s">
        <v>41</v>
      </c>
      <c r="C22" t="s">
        <v>38</v>
      </c>
      <c r="D22">
        <v>10</v>
      </c>
      <c r="E22" t="str">
        <f t="shared" ref="E22:L22" si="4">+FIXED(E14,4)</f>
        <v>0.7373</v>
      </c>
      <c r="F22" t="str">
        <f t="shared" si="4"/>
        <v>0.0024</v>
      </c>
      <c r="G22" t="str">
        <f t="shared" si="4"/>
        <v>0.1724</v>
      </c>
      <c r="H22" t="str">
        <f t="shared" si="4"/>
        <v>0.0008</v>
      </c>
      <c r="I22" t="str">
        <f t="shared" si="4"/>
        <v>0.7233</v>
      </c>
      <c r="J22" t="str">
        <f t="shared" si="4"/>
        <v>0.0056</v>
      </c>
      <c r="K22" t="str">
        <f t="shared" si="4"/>
        <v>0.2784</v>
      </c>
      <c r="L22" t="str">
        <f t="shared" si="4"/>
        <v>0.0014</v>
      </c>
    </row>
    <row r="23" spans="1:12" x14ac:dyDescent="0.25">
      <c r="A23" t="s">
        <v>34</v>
      </c>
      <c r="B23" t="s">
        <v>42</v>
      </c>
      <c r="C23" t="s">
        <v>36</v>
      </c>
      <c r="D23">
        <v>10</v>
      </c>
      <c r="E23" t="str">
        <f t="shared" ref="E23:L23" si="5">+FIXED(E15,4)</f>
        <v>0.7619</v>
      </c>
      <c r="F23" t="str">
        <f t="shared" si="5"/>
        <v>0.0055</v>
      </c>
      <c r="G23" t="str">
        <f t="shared" si="5"/>
        <v>0.2700</v>
      </c>
      <c r="H23" t="str">
        <f t="shared" si="5"/>
        <v>0.0048</v>
      </c>
      <c r="I23" t="str">
        <f t="shared" si="5"/>
        <v>0.6495</v>
      </c>
      <c r="J23" t="str">
        <f t="shared" si="5"/>
        <v>0.0131</v>
      </c>
      <c r="K23" t="str">
        <f t="shared" si="5"/>
        <v>0.3814</v>
      </c>
      <c r="L23" t="str">
        <f t="shared" si="5"/>
        <v>0.0054</v>
      </c>
    </row>
    <row r="25" spans="1:12" ht="33.75" customHeight="1" x14ac:dyDescent="0.25">
      <c r="A25" s="3" t="s">
        <v>0</v>
      </c>
      <c r="B25" s="17" t="s">
        <v>50</v>
      </c>
      <c r="C25" s="17" t="s">
        <v>51</v>
      </c>
      <c r="D25" s="17" t="s">
        <v>43</v>
      </c>
      <c r="E25" s="17" t="s">
        <v>44</v>
      </c>
      <c r="F25" s="17" t="s">
        <v>45</v>
      </c>
      <c r="G25" s="17" t="s">
        <v>46</v>
      </c>
    </row>
    <row r="26" spans="1:12" x14ac:dyDescent="0.25">
      <c r="A26" s="1" t="s">
        <v>34</v>
      </c>
      <c r="B26" s="5" t="s">
        <v>47</v>
      </c>
      <c r="C26" s="5" t="s">
        <v>36</v>
      </c>
      <c r="D26" s="5" t="str">
        <f>+_xlfn.CONCAT(E18," ± ",F18)</f>
        <v>0.7735 ± 0.0035</v>
      </c>
      <c r="E26" s="5" t="str">
        <f>+_xlfn.CONCAT(G18," ± ",H18)</f>
        <v>0.2369 ± 0.0045</v>
      </c>
      <c r="F26" s="5" t="str">
        <f>+_xlfn.CONCAT(I18," ± ",J18)</f>
        <v>0.7112 ± 0.0103</v>
      </c>
      <c r="G26" s="5" t="str">
        <f>+_xlfn.CONCAT(K18," ± ",L18)</f>
        <v>0.3554 ± 0.0045</v>
      </c>
    </row>
    <row r="27" spans="1:12" x14ac:dyDescent="0.25">
      <c r="A27" s="1" t="s">
        <v>34</v>
      </c>
      <c r="B27" s="5" t="s">
        <v>37</v>
      </c>
      <c r="C27" s="5" t="s">
        <v>38</v>
      </c>
      <c r="D27" s="5" t="str">
        <f t="shared" ref="D27:D31" si="6">+_xlfn.CONCAT(E19," ± ",F19)</f>
        <v>0.7537 ± 0.0042</v>
      </c>
      <c r="E27" s="5" t="str">
        <f t="shared" ref="E27:E31" si="7">+_xlfn.CONCAT(G19," ± ",H19)</f>
        <v>0.2063 ± 0.0116</v>
      </c>
      <c r="F27" s="5" t="str">
        <f t="shared" ref="F27:F31" si="8">+_xlfn.CONCAT(I19," ± ",J19)</f>
        <v>0.7020 ± 0.0261</v>
      </c>
      <c r="G27" s="5" t="str">
        <f t="shared" ref="G27:G31" si="9">+_xlfn.CONCAT(K19," ± ",L19)</f>
        <v>0.3185 ± 0.0113</v>
      </c>
    </row>
    <row r="28" spans="1:12" x14ac:dyDescent="0.25">
      <c r="A28" s="1" t="s">
        <v>34</v>
      </c>
      <c r="B28" s="5" t="s">
        <v>39</v>
      </c>
      <c r="C28" s="5" t="s">
        <v>38</v>
      </c>
      <c r="D28" s="5" t="str">
        <f t="shared" si="6"/>
        <v>0.7535 ± 0.0025</v>
      </c>
      <c r="E28" s="5" t="str">
        <f t="shared" si="7"/>
        <v>0.1899 ± 0.0017</v>
      </c>
      <c r="F28" s="5" t="str">
        <f t="shared" si="8"/>
        <v>0.7300 ± 0.0059</v>
      </c>
      <c r="G28" s="5" t="str">
        <f t="shared" si="9"/>
        <v>0.3014 ± 0.0023</v>
      </c>
    </row>
    <row r="29" spans="1:12" x14ac:dyDescent="0.25">
      <c r="A29" s="1" t="s">
        <v>34</v>
      </c>
      <c r="B29" s="5" t="s">
        <v>40</v>
      </c>
      <c r="C29" s="5" t="s">
        <v>36</v>
      </c>
      <c r="D29" s="5" t="str">
        <f t="shared" si="6"/>
        <v>0.7741 ± 0.0039</v>
      </c>
      <c r="E29" s="5" t="str">
        <f t="shared" si="7"/>
        <v>0.2370 ± 0.0023</v>
      </c>
      <c r="F29" s="5" t="str">
        <f t="shared" si="8"/>
        <v>0.7126 ± 0.0112</v>
      </c>
      <c r="G29" s="5" t="str">
        <f t="shared" si="9"/>
        <v>0.3557 ± 0.0022</v>
      </c>
    </row>
    <row r="30" spans="1:12" x14ac:dyDescent="0.25">
      <c r="A30" s="1" t="s">
        <v>34</v>
      </c>
      <c r="B30" s="5" t="s">
        <v>41</v>
      </c>
      <c r="C30" s="5" t="s">
        <v>38</v>
      </c>
      <c r="D30" s="5" t="str">
        <f t="shared" si="6"/>
        <v>0.7373 ± 0.0024</v>
      </c>
      <c r="E30" s="5" t="str">
        <f t="shared" si="7"/>
        <v>0.1724 ± 0.0008</v>
      </c>
      <c r="F30" s="5" t="str">
        <f t="shared" si="8"/>
        <v>0.7233 ± 0.0056</v>
      </c>
      <c r="G30" s="5" t="str">
        <f t="shared" si="9"/>
        <v>0.2784 ± 0.0014</v>
      </c>
    </row>
    <row r="31" spans="1:12" x14ac:dyDescent="0.25">
      <c r="A31" s="2" t="s">
        <v>34</v>
      </c>
      <c r="B31" s="6" t="s">
        <v>42</v>
      </c>
      <c r="C31" s="6" t="s">
        <v>36</v>
      </c>
      <c r="D31" s="6" t="str">
        <f t="shared" si="6"/>
        <v>0.7619 ± 0.0055</v>
      </c>
      <c r="E31" s="6" t="str">
        <f t="shared" si="7"/>
        <v>0.2700 ± 0.0048</v>
      </c>
      <c r="F31" s="6" t="str">
        <f t="shared" si="8"/>
        <v>0.6495 ± 0.0131</v>
      </c>
      <c r="G31" s="6" t="str">
        <f t="shared" si="9"/>
        <v>0.3814 ± 0.0054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401D1-F113-4B25-A0E9-0D4249E152F2}">
  <dimension ref="A1:AH31"/>
  <sheetViews>
    <sheetView tabSelected="1" topLeftCell="A7" zoomScale="130" zoomScaleNormal="130" workbookViewId="0">
      <selection activeCell="B25" sqref="B25:E31"/>
    </sheetView>
  </sheetViews>
  <sheetFormatPr baseColWidth="10" defaultRowHeight="15" x14ac:dyDescent="0.25"/>
  <cols>
    <col min="1" max="1" width="6.42578125" bestFit="1" customWidth="1"/>
    <col min="2" max="2" width="22" bestFit="1" customWidth="1"/>
    <col min="3" max="3" width="12.5703125" bestFit="1" customWidth="1"/>
    <col min="4" max="4" width="20.42578125" customWidth="1"/>
    <col min="5" max="5" width="24.28515625" bestFit="1" customWidth="1"/>
    <col min="6" max="6" width="22" bestFit="1" customWidth="1"/>
    <col min="7" max="7" width="26" bestFit="1" customWidth="1"/>
    <col min="8" max="9" width="21.42578125" bestFit="1" customWidth="1"/>
    <col min="10" max="10" width="15.140625" bestFit="1" customWidth="1"/>
    <col min="11" max="11" width="13.140625" bestFit="1" customWidth="1"/>
    <col min="12" max="12" width="17" bestFit="1" customWidth="1"/>
    <col min="13" max="16" width="13.140625" bestFit="1" customWidth="1"/>
    <col min="17" max="17" width="13.5703125" bestFit="1" customWidth="1"/>
    <col min="18" max="24" width="13.140625" bestFit="1" customWidth="1"/>
    <col min="25" max="25" width="13.85546875" bestFit="1" customWidth="1"/>
    <col min="26" max="26" width="13.140625" bestFit="1" customWidth="1"/>
    <col min="27" max="27" width="15.5703125" bestFit="1" customWidth="1"/>
    <col min="28" max="29" width="13.140625" bestFit="1" customWidth="1"/>
    <col min="30" max="30" width="23.140625" bestFit="1" customWidth="1"/>
    <col min="31" max="31" width="20.7109375" bestFit="1" customWidth="1"/>
    <col min="32" max="32" width="24.85546875" bestFit="1" customWidth="1"/>
    <col min="33" max="34" width="20.14062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>
        <v>10</v>
      </c>
      <c r="E2">
        <v>0.77352533334616902</v>
      </c>
      <c r="F2">
        <v>3.4764472759837698E-3</v>
      </c>
      <c r="G2">
        <v>0.77378935906738</v>
      </c>
      <c r="H2">
        <v>0.77019175764988601</v>
      </c>
      <c r="I2">
        <v>0.77556189939167697</v>
      </c>
      <c r="J2">
        <v>0.23692082174460399</v>
      </c>
      <c r="K2">
        <v>4.4643407709405699E-3</v>
      </c>
      <c r="L2">
        <v>0.23565469225097399</v>
      </c>
      <c r="M2">
        <v>0.2339929033739</v>
      </c>
      <c r="N2">
        <v>0.23944991966967699</v>
      </c>
      <c r="O2">
        <v>0.71123670212765899</v>
      </c>
      <c r="P2">
        <v>1.0280439386631E-2</v>
      </c>
      <c r="Q2">
        <v>0.70861037234042501</v>
      </c>
      <c r="R2">
        <v>0.70304188829787195</v>
      </c>
      <c r="S2">
        <v>0.72066156914893598</v>
      </c>
      <c r="T2">
        <v>0.35539097872583197</v>
      </c>
      <c r="U2">
        <v>4.5048280871877898E-3</v>
      </c>
      <c r="V2">
        <v>0.35424159021206503</v>
      </c>
      <c r="W2">
        <v>0.35181880069774901</v>
      </c>
      <c r="X2">
        <v>0.35851895784330401</v>
      </c>
      <c r="Y2">
        <v>0.85725758094626903</v>
      </c>
      <c r="Z2">
        <v>2.3663512721234098E-3</v>
      </c>
      <c r="AA2">
        <v>0.85599081467645299</v>
      </c>
      <c r="AB2">
        <v>0.855805461053181</v>
      </c>
      <c r="AC2">
        <v>0.85944173260870604</v>
      </c>
      <c r="AD2">
        <v>0.37614592209398401</v>
      </c>
      <c r="AE2">
        <v>6.9135734835795602E-3</v>
      </c>
      <c r="AF2">
        <v>0.37418131262594601</v>
      </c>
      <c r="AG2">
        <v>0.36984392627040003</v>
      </c>
      <c r="AH2">
        <v>0.38264145338371902</v>
      </c>
    </row>
    <row r="3" spans="1:34" x14ac:dyDescent="0.25">
      <c r="A3" t="s">
        <v>34</v>
      </c>
      <c r="B3" t="s">
        <v>37</v>
      </c>
      <c r="C3" t="s">
        <v>38</v>
      </c>
      <c r="D3">
        <v>10</v>
      </c>
      <c r="E3">
        <v>0.75373000378998201</v>
      </c>
      <c r="F3">
        <v>4.2269615579461697E-3</v>
      </c>
      <c r="G3">
        <v>0.75366839441048505</v>
      </c>
      <c r="H3">
        <v>0.75293119567100897</v>
      </c>
      <c r="I3">
        <v>0.75498877635760397</v>
      </c>
      <c r="J3">
        <v>0.206345264379107</v>
      </c>
      <c r="K3">
        <v>1.16482454133854E-2</v>
      </c>
      <c r="L3">
        <v>0.20828281120306899</v>
      </c>
      <c r="M3">
        <v>0.19746199666181799</v>
      </c>
      <c r="N3">
        <v>0.210449427463551</v>
      </c>
      <c r="O3">
        <v>0.70199468085106298</v>
      </c>
      <c r="P3">
        <v>2.6112633422624602E-2</v>
      </c>
      <c r="Q3">
        <v>0.70711436170212705</v>
      </c>
      <c r="R3">
        <v>0.69232047872340396</v>
      </c>
      <c r="S3">
        <v>0.72041223404255295</v>
      </c>
      <c r="T3">
        <v>0.31850517392500999</v>
      </c>
      <c r="U3">
        <v>1.1254977762803301E-2</v>
      </c>
      <c r="V3">
        <v>0.32096372877113299</v>
      </c>
      <c r="W3">
        <v>0.30995498052692699</v>
      </c>
      <c r="X3">
        <v>0.32346672079206601</v>
      </c>
      <c r="Y3">
        <v>0.83039628218508099</v>
      </c>
      <c r="Z3">
        <v>5.2048659940407199E-3</v>
      </c>
      <c r="AA3">
        <v>0.82935851565128405</v>
      </c>
      <c r="AB3">
        <v>0.82689518154483799</v>
      </c>
      <c r="AC3">
        <v>0.83324659238854504</v>
      </c>
      <c r="AD3">
        <v>0.32935024235239002</v>
      </c>
      <c r="AE3">
        <v>8.9416926403643703E-3</v>
      </c>
      <c r="AF3">
        <v>0.32832506613652201</v>
      </c>
      <c r="AG3">
        <v>0.32462903621587802</v>
      </c>
      <c r="AH3">
        <v>0.33200602742964802</v>
      </c>
    </row>
    <row r="4" spans="1:34" x14ac:dyDescent="0.25">
      <c r="A4" t="s">
        <v>34</v>
      </c>
      <c r="B4" t="s">
        <v>39</v>
      </c>
      <c r="C4" t="s">
        <v>38</v>
      </c>
      <c r="D4">
        <v>10</v>
      </c>
      <c r="E4">
        <v>0.75346024939400802</v>
      </c>
      <c r="F4">
        <v>2.5399252856549998E-3</v>
      </c>
      <c r="G4">
        <v>0.75434837765450702</v>
      </c>
      <c r="H4">
        <v>0.75278532663769804</v>
      </c>
      <c r="I4">
        <v>0.75493099876166803</v>
      </c>
      <c r="J4">
        <v>0.18993016659390499</v>
      </c>
      <c r="K4">
        <v>1.71204341442946E-3</v>
      </c>
      <c r="L4">
        <v>0.19009887091453001</v>
      </c>
      <c r="M4">
        <v>0.189136351403171</v>
      </c>
      <c r="N4">
        <v>0.19062920907443101</v>
      </c>
      <c r="O4">
        <v>0.72995345744680795</v>
      </c>
      <c r="P4">
        <v>5.9181134685755404E-3</v>
      </c>
      <c r="Q4">
        <v>0.72972074468085102</v>
      </c>
      <c r="R4">
        <v>0.72747672872340396</v>
      </c>
      <c r="S4">
        <v>0.73346077127659504</v>
      </c>
      <c r="T4">
        <v>0.3014242128522</v>
      </c>
      <c r="U4">
        <v>2.2780962391970899E-3</v>
      </c>
      <c r="V4">
        <v>0.30157412262868399</v>
      </c>
      <c r="W4">
        <v>0.30100204290918098</v>
      </c>
      <c r="X4">
        <v>0.30214923574946401</v>
      </c>
      <c r="Y4">
        <v>0.83301661808112804</v>
      </c>
      <c r="Z4">
        <v>3.2867873595698299E-3</v>
      </c>
      <c r="AA4">
        <v>0.83344770560717196</v>
      </c>
      <c r="AB4">
        <v>0.83222675210995101</v>
      </c>
      <c r="AC4">
        <v>0.83472084241508204</v>
      </c>
      <c r="AD4">
        <v>0.33186209958622798</v>
      </c>
      <c r="AE4">
        <v>7.38005468850689E-3</v>
      </c>
      <c r="AF4">
        <v>0.33185578344232303</v>
      </c>
      <c r="AG4">
        <v>0.32882119442747398</v>
      </c>
      <c r="AH4">
        <v>0.33654050410289299</v>
      </c>
    </row>
    <row r="5" spans="1:34" x14ac:dyDescent="0.25">
      <c r="A5" t="s">
        <v>34</v>
      </c>
      <c r="B5" t="s">
        <v>40</v>
      </c>
      <c r="C5" t="s">
        <v>36</v>
      </c>
      <c r="D5">
        <v>10</v>
      </c>
      <c r="E5">
        <v>0.77412230939125104</v>
      </c>
      <c r="F5">
        <v>3.8770120041736801E-3</v>
      </c>
      <c r="G5">
        <v>0.77342241037299897</v>
      </c>
      <c r="H5">
        <v>0.77096274575349699</v>
      </c>
      <c r="I5">
        <v>0.77719019364884001</v>
      </c>
      <c r="J5">
        <v>0.23701613134934299</v>
      </c>
      <c r="K5">
        <v>2.2727174731492199E-3</v>
      </c>
      <c r="L5">
        <v>0.237371062628946</v>
      </c>
      <c r="M5">
        <v>0.23628973640873599</v>
      </c>
      <c r="N5">
        <v>0.23886533234982399</v>
      </c>
      <c r="O5">
        <v>0.71259973404255295</v>
      </c>
      <c r="P5">
        <v>1.1236997194917201E-2</v>
      </c>
      <c r="Q5">
        <v>0.71160239361702105</v>
      </c>
      <c r="R5">
        <v>0.70387300531914898</v>
      </c>
      <c r="S5">
        <v>0.72398603723404198</v>
      </c>
      <c r="T5">
        <v>0.35568765920427903</v>
      </c>
      <c r="U5">
        <v>2.1772062156698198E-3</v>
      </c>
      <c r="V5">
        <v>0.355800840188013</v>
      </c>
      <c r="W5">
        <v>0.35507139047276198</v>
      </c>
      <c r="X5">
        <v>0.35685689224716599</v>
      </c>
      <c r="Y5">
        <v>0.85717469448017902</v>
      </c>
      <c r="Z5">
        <v>2.7448290028829398E-3</v>
      </c>
      <c r="AA5">
        <v>0.85581792919396005</v>
      </c>
      <c r="AB5">
        <v>0.85491888213161404</v>
      </c>
      <c r="AC5">
        <v>0.85902271144035003</v>
      </c>
      <c r="AD5">
        <v>0.37316174379480599</v>
      </c>
      <c r="AE5">
        <v>8.2051866870005499E-3</v>
      </c>
      <c r="AF5">
        <v>0.374151110701677</v>
      </c>
      <c r="AG5">
        <v>0.36553809189382303</v>
      </c>
      <c r="AH5">
        <v>0.37974533745896799</v>
      </c>
    </row>
    <row r="6" spans="1:34" x14ac:dyDescent="0.25">
      <c r="A6" t="s">
        <v>34</v>
      </c>
      <c r="B6" t="s">
        <v>41</v>
      </c>
      <c r="C6" t="s">
        <v>38</v>
      </c>
      <c r="D6">
        <v>10</v>
      </c>
      <c r="E6">
        <v>0.73728928673850702</v>
      </c>
      <c r="F6">
        <v>2.3733428715109902E-3</v>
      </c>
      <c r="G6">
        <v>0.73731081122848097</v>
      </c>
      <c r="H6">
        <v>0.735428415886207</v>
      </c>
      <c r="I6">
        <v>0.738275652745913</v>
      </c>
      <c r="J6">
        <v>0.172397986299206</v>
      </c>
      <c r="K6">
        <v>8.2312612535987198E-4</v>
      </c>
      <c r="L6">
        <v>0.172298290957905</v>
      </c>
      <c r="M6">
        <v>0.17203927105703901</v>
      </c>
      <c r="N6">
        <v>0.17291805634594301</v>
      </c>
      <c r="O6">
        <v>0.72330452127659495</v>
      </c>
      <c r="P6">
        <v>5.6047942214052602E-3</v>
      </c>
      <c r="Q6">
        <v>0.72240691489361697</v>
      </c>
      <c r="R6">
        <v>0.71899933510638303</v>
      </c>
      <c r="S6">
        <v>0.72631316489361697</v>
      </c>
      <c r="T6">
        <v>0.278430944428046</v>
      </c>
      <c r="U6">
        <v>1.3816126187571999E-3</v>
      </c>
      <c r="V6">
        <v>0.27834546176133301</v>
      </c>
      <c r="W6">
        <v>0.27757605180095002</v>
      </c>
      <c r="X6">
        <v>0.27946195808233698</v>
      </c>
      <c r="Y6">
        <v>0.80531385173290304</v>
      </c>
      <c r="Z6">
        <v>2.8201796788702299E-3</v>
      </c>
      <c r="AA6">
        <v>0.80543422871770398</v>
      </c>
      <c r="AB6">
        <v>0.80323185965576505</v>
      </c>
      <c r="AC6">
        <v>0.80743676907936801</v>
      </c>
      <c r="AD6">
        <v>0.27233893715242902</v>
      </c>
      <c r="AE6">
        <v>4.7868596332372101E-3</v>
      </c>
      <c r="AF6">
        <v>0.27180517510306101</v>
      </c>
      <c r="AG6">
        <v>0.26885905677630401</v>
      </c>
      <c r="AH6">
        <v>0.27630396441142002</v>
      </c>
    </row>
    <row r="7" spans="1:34" x14ac:dyDescent="0.25">
      <c r="A7" t="s">
        <v>34</v>
      </c>
      <c r="B7" t="s">
        <v>42</v>
      </c>
      <c r="C7" t="s">
        <v>36</v>
      </c>
      <c r="D7">
        <v>10</v>
      </c>
      <c r="E7">
        <v>0.76185649470213102</v>
      </c>
      <c r="F7">
        <v>5.5187567819795702E-3</v>
      </c>
      <c r="G7">
        <v>0.76106718845636201</v>
      </c>
      <c r="H7">
        <v>0.75858764448040705</v>
      </c>
      <c r="I7">
        <v>0.76566074484045599</v>
      </c>
      <c r="J7">
        <v>0.27003775214366399</v>
      </c>
      <c r="K7">
        <v>4.8280735486512299E-3</v>
      </c>
      <c r="L7">
        <v>0.26970961462158499</v>
      </c>
      <c r="M7">
        <v>0.26650577510553802</v>
      </c>
      <c r="N7">
        <v>0.27338682282097798</v>
      </c>
      <c r="O7">
        <v>0.64953457446808505</v>
      </c>
      <c r="P7">
        <v>1.3052553975503599E-2</v>
      </c>
      <c r="Q7">
        <v>0.64611037234042501</v>
      </c>
      <c r="R7">
        <v>0.64104055851063801</v>
      </c>
      <c r="S7">
        <v>0.66248337765957399</v>
      </c>
      <c r="T7">
        <v>0.381429316406248</v>
      </c>
      <c r="U7">
        <v>5.3857325074069999E-3</v>
      </c>
      <c r="V7">
        <v>0.38085428826194001</v>
      </c>
      <c r="W7">
        <v>0.37829459680965599</v>
      </c>
      <c r="X7">
        <v>0.38387505647092901</v>
      </c>
      <c r="Y7">
        <v>0.854933207579052</v>
      </c>
      <c r="Z7">
        <v>2.9584191142768301E-3</v>
      </c>
      <c r="AA7">
        <v>0.853442108590592</v>
      </c>
      <c r="AB7">
        <v>0.85280458174593998</v>
      </c>
      <c r="AC7">
        <v>0.85699798988117704</v>
      </c>
      <c r="AD7">
        <v>0.364233828000118</v>
      </c>
      <c r="AE7">
        <v>6.3439270628033798E-3</v>
      </c>
      <c r="AF7">
        <v>0.36219594003758399</v>
      </c>
      <c r="AG7">
        <v>0.36024514201352897</v>
      </c>
      <c r="AH7">
        <v>0.37017199411088297</v>
      </c>
    </row>
    <row r="9" spans="1:34" x14ac:dyDescent="0.25">
      <c r="A9" t="s">
        <v>0</v>
      </c>
      <c r="B9" t="s">
        <v>1</v>
      </c>
      <c r="C9" t="s">
        <v>2</v>
      </c>
      <c r="D9" t="s">
        <v>3</v>
      </c>
      <c r="E9" t="s">
        <v>24</v>
      </c>
      <c r="F9" t="s">
        <v>25</v>
      </c>
      <c r="G9" t="s">
        <v>29</v>
      </c>
      <c r="H9" t="s">
        <v>30</v>
      </c>
    </row>
    <row r="10" spans="1:34" x14ac:dyDescent="0.25">
      <c r="A10" t="s">
        <v>34</v>
      </c>
      <c r="B10" t="s">
        <v>35</v>
      </c>
      <c r="C10" t="s">
        <v>36</v>
      </c>
      <c r="D10">
        <v>10</v>
      </c>
      <c r="E10">
        <v>0.85725758094626903</v>
      </c>
      <c r="F10">
        <v>2.3663512721234098E-3</v>
      </c>
      <c r="G10">
        <v>0.37614592209398401</v>
      </c>
      <c r="H10">
        <v>6.9135734835795602E-3</v>
      </c>
    </row>
    <row r="11" spans="1:34" x14ac:dyDescent="0.25">
      <c r="A11" t="s">
        <v>34</v>
      </c>
      <c r="B11" t="s">
        <v>37</v>
      </c>
      <c r="C11" t="s">
        <v>38</v>
      </c>
      <c r="D11">
        <v>10</v>
      </c>
      <c r="E11">
        <v>0.83039628218508099</v>
      </c>
      <c r="F11">
        <v>5.2048659940407199E-3</v>
      </c>
      <c r="G11">
        <v>0.32935024235239002</v>
      </c>
      <c r="H11">
        <v>8.9416926403643703E-3</v>
      </c>
    </row>
    <row r="12" spans="1:34" x14ac:dyDescent="0.25">
      <c r="A12" t="s">
        <v>34</v>
      </c>
      <c r="B12" t="s">
        <v>39</v>
      </c>
      <c r="C12" t="s">
        <v>38</v>
      </c>
      <c r="D12">
        <v>10</v>
      </c>
      <c r="E12">
        <v>0.83301661808112804</v>
      </c>
      <c r="F12">
        <v>3.2867873595698299E-3</v>
      </c>
      <c r="G12">
        <v>0.33186209958622798</v>
      </c>
      <c r="H12">
        <v>7.38005468850689E-3</v>
      </c>
    </row>
    <row r="13" spans="1:34" x14ac:dyDescent="0.25">
      <c r="A13" t="s">
        <v>34</v>
      </c>
      <c r="B13" t="s">
        <v>40</v>
      </c>
      <c r="C13" t="s">
        <v>36</v>
      </c>
      <c r="D13">
        <v>10</v>
      </c>
      <c r="E13">
        <v>0.85717469448017902</v>
      </c>
      <c r="F13">
        <v>2.7448290028829398E-3</v>
      </c>
      <c r="G13">
        <v>0.37316174379480599</v>
      </c>
      <c r="H13">
        <v>8.2051866870005499E-3</v>
      </c>
    </row>
    <row r="14" spans="1:34" x14ac:dyDescent="0.25">
      <c r="A14" t="s">
        <v>34</v>
      </c>
      <c r="B14" t="s">
        <v>41</v>
      </c>
      <c r="C14" t="s">
        <v>38</v>
      </c>
      <c r="D14">
        <v>10</v>
      </c>
      <c r="E14">
        <v>0.80531385173290304</v>
      </c>
      <c r="F14">
        <v>2.8201796788702299E-3</v>
      </c>
      <c r="G14">
        <v>0.27233893715242902</v>
      </c>
      <c r="H14">
        <v>4.7868596332372101E-3</v>
      </c>
    </row>
    <row r="15" spans="1:34" x14ac:dyDescent="0.25">
      <c r="A15" t="s">
        <v>34</v>
      </c>
      <c r="B15" t="s">
        <v>42</v>
      </c>
      <c r="C15" t="s">
        <v>36</v>
      </c>
      <c r="D15">
        <v>10</v>
      </c>
      <c r="E15">
        <v>0.854933207579052</v>
      </c>
      <c r="F15">
        <v>2.9584191142768301E-3</v>
      </c>
      <c r="G15">
        <v>0.364233828000118</v>
      </c>
      <c r="H15">
        <v>6.3439270628033798E-3</v>
      </c>
    </row>
    <row r="17" spans="1:8" x14ac:dyDescent="0.25">
      <c r="A17" t="s">
        <v>0</v>
      </c>
      <c r="B17" t="s">
        <v>1</v>
      </c>
      <c r="C17" t="s">
        <v>2</v>
      </c>
      <c r="D17" t="s">
        <v>3</v>
      </c>
      <c r="E17" t="str">
        <f t="shared" ref="E17:H17" si="0">E9</f>
        <v>roc_auc_mean</v>
      </c>
      <c r="F17" t="str">
        <f t="shared" si="0"/>
        <v>roc_auc_std</v>
      </c>
      <c r="G17" t="str">
        <f t="shared" si="0"/>
        <v>average_precision_mean</v>
      </c>
      <c r="H17" t="str">
        <f t="shared" si="0"/>
        <v>average_precision_std</v>
      </c>
    </row>
    <row r="18" spans="1:8" x14ac:dyDescent="0.25">
      <c r="A18" t="s">
        <v>34</v>
      </c>
      <c r="B18" t="s">
        <v>35</v>
      </c>
      <c r="C18" t="s">
        <v>36</v>
      </c>
      <c r="D18">
        <v>10</v>
      </c>
      <c r="E18" t="str">
        <f>+FIXED(E10,4)</f>
        <v>0.8573</v>
      </c>
      <c r="F18" t="str">
        <f t="shared" ref="F18:H18" si="1">+FIXED(F10,4)</f>
        <v>0.0024</v>
      </c>
      <c r="G18" t="str">
        <f t="shared" si="1"/>
        <v>0.3761</v>
      </c>
      <c r="H18" t="str">
        <f t="shared" si="1"/>
        <v>0.0069</v>
      </c>
    </row>
    <row r="19" spans="1:8" x14ac:dyDescent="0.25">
      <c r="A19" t="s">
        <v>34</v>
      </c>
      <c r="B19" t="s">
        <v>37</v>
      </c>
      <c r="C19" t="s">
        <v>38</v>
      </c>
      <c r="D19">
        <v>10</v>
      </c>
      <c r="E19" t="str">
        <f t="shared" ref="E19:H19" si="2">+FIXED(E11,4)</f>
        <v>0.8304</v>
      </c>
      <c r="F19" t="str">
        <f t="shared" si="2"/>
        <v>0.0052</v>
      </c>
      <c r="G19" t="str">
        <f t="shared" si="2"/>
        <v>0.3294</v>
      </c>
      <c r="H19" t="str">
        <f t="shared" si="2"/>
        <v>0.0089</v>
      </c>
    </row>
    <row r="20" spans="1:8" x14ac:dyDescent="0.25">
      <c r="A20" t="s">
        <v>34</v>
      </c>
      <c r="B20" t="s">
        <v>39</v>
      </c>
      <c r="C20" t="s">
        <v>38</v>
      </c>
      <c r="D20">
        <v>10</v>
      </c>
      <c r="E20" t="str">
        <f t="shared" ref="E20:H20" si="3">+FIXED(E12,4)</f>
        <v>0.8330</v>
      </c>
      <c r="F20" t="str">
        <f t="shared" si="3"/>
        <v>0.0033</v>
      </c>
      <c r="G20" t="str">
        <f t="shared" si="3"/>
        <v>0.3319</v>
      </c>
      <c r="H20" t="str">
        <f t="shared" si="3"/>
        <v>0.0074</v>
      </c>
    </row>
    <row r="21" spans="1:8" x14ac:dyDescent="0.25">
      <c r="A21" t="s">
        <v>34</v>
      </c>
      <c r="B21" t="s">
        <v>40</v>
      </c>
      <c r="C21" t="s">
        <v>36</v>
      </c>
      <c r="D21">
        <v>10</v>
      </c>
      <c r="E21" t="str">
        <f t="shared" ref="E21:H21" si="4">+FIXED(E13,4)</f>
        <v>0.8572</v>
      </c>
      <c r="F21" t="str">
        <f t="shared" si="4"/>
        <v>0.0027</v>
      </c>
      <c r="G21" t="str">
        <f t="shared" si="4"/>
        <v>0.3732</v>
      </c>
      <c r="H21" t="str">
        <f t="shared" si="4"/>
        <v>0.0082</v>
      </c>
    </row>
    <row r="22" spans="1:8" x14ac:dyDescent="0.25">
      <c r="A22" t="s">
        <v>34</v>
      </c>
      <c r="B22" t="s">
        <v>41</v>
      </c>
      <c r="C22" t="s">
        <v>38</v>
      </c>
      <c r="D22">
        <v>10</v>
      </c>
      <c r="E22" t="str">
        <f t="shared" ref="E22:H22" si="5">+FIXED(E14,4)</f>
        <v>0.8053</v>
      </c>
      <c r="F22" t="str">
        <f t="shared" si="5"/>
        <v>0.0028</v>
      </c>
      <c r="G22" t="str">
        <f t="shared" si="5"/>
        <v>0.2723</v>
      </c>
      <c r="H22" t="str">
        <f t="shared" si="5"/>
        <v>0.0048</v>
      </c>
    </row>
    <row r="23" spans="1:8" x14ac:dyDescent="0.25">
      <c r="A23" t="s">
        <v>34</v>
      </c>
      <c r="B23" t="s">
        <v>42</v>
      </c>
      <c r="C23" t="s">
        <v>36</v>
      </c>
      <c r="D23">
        <v>10</v>
      </c>
      <c r="E23" t="str">
        <f t="shared" ref="E23:H23" si="6">+FIXED(E15,4)</f>
        <v>0.8549</v>
      </c>
      <c r="F23" t="str">
        <f t="shared" si="6"/>
        <v>0.0030</v>
      </c>
      <c r="G23" t="str">
        <f t="shared" si="6"/>
        <v>0.3642</v>
      </c>
      <c r="H23" t="str">
        <f t="shared" si="6"/>
        <v>0.0063</v>
      </c>
    </row>
    <row r="25" spans="1:8" x14ac:dyDescent="0.25">
      <c r="A25" s="3" t="s">
        <v>0</v>
      </c>
      <c r="B25" s="4" t="s">
        <v>50</v>
      </c>
      <c r="C25" s="4" t="s">
        <v>51</v>
      </c>
      <c r="D25" s="4" t="s">
        <v>48</v>
      </c>
      <c r="E25" s="4" t="s">
        <v>49</v>
      </c>
    </row>
    <row r="26" spans="1:8" x14ac:dyDescent="0.25">
      <c r="A26" s="1" t="s">
        <v>34</v>
      </c>
      <c r="B26" s="5" t="s">
        <v>35</v>
      </c>
      <c r="C26" s="5" t="s">
        <v>36</v>
      </c>
      <c r="D26" s="5" t="str">
        <f>+_xlfn.CONCAT(E18," ± ",F18)</f>
        <v>0.8573 ± 0.0024</v>
      </c>
      <c r="E26" s="5" t="str">
        <f>+_xlfn.CONCAT(G18," ± ",H18)</f>
        <v>0.3761 ± 0.0069</v>
      </c>
    </row>
    <row r="27" spans="1:8" x14ac:dyDescent="0.25">
      <c r="A27" s="1" t="s">
        <v>34</v>
      </c>
      <c r="B27" s="5" t="s">
        <v>37</v>
      </c>
      <c r="C27" s="5" t="s">
        <v>38</v>
      </c>
      <c r="D27" s="5" t="str">
        <f t="shared" ref="D27:D31" si="7">+_xlfn.CONCAT(E19," ± ",F19)</f>
        <v>0.8304 ± 0.0052</v>
      </c>
      <c r="E27" s="5" t="str">
        <f t="shared" ref="E27:E31" si="8">+_xlfn.CONCAT(G19," ± ",H19)</f>
        <v>0.3294 ± 0.0089</v>
      </c>
    </row>
    <row r="28" spans="1:8" x14ac:dyDescent="0.25">
      <c r="A28" s="1" t="s">
        <v>34</v>
      </c>
      <c r="B28" s="5" t="s">
        <v>39</v>
      </c>
      <c r="C28" s="5" t="s">
        <v>38</v>
      </c>
      <c r="D28" s="5" t="str">
        <f t="shared" si="7"/>
        <v>0.8330 ± 0.0033</v>
      </c>
      <c r="E28" s="5" t="str">
        <f t="shared" si="8"/>
        <v>0.3319 ± 0.0074</v>
      </c>
    </row>
    <row r="29" spans="1:8" x14ac:dyDescent="0.25">
      <c r="A29" s="1" t="s">
        <v>34</v>
      </c>
      <c r="B29" s="5" t="s">
        <v>40</v>
      </c>
      <c r="C29" s="5" t="s">
        <v>36</v>
      </c>
      <c r="D29" s="5" t="str">
        <f t="shared" si="7"/>
        <v>0.8572 ± 0.0027</v>
      </c>
      <c r="E29" s="5" t="str">
        <f t="shared" si="8"/>
        <v>0.3732 ± 0.0082</v>
      </c>
    </row>
    <row r="30" spans="1:8" x14ac:dyDescent="0.25">
      <c r="A30" s="1" t="s">
        <v>34</v>
      </c>
      <c r="B30" s="5" t="s">
        <v>41</v>
      </c>
      <c r="C30" s="5" t="s">
        <v>38</v>
      </c>
      <c r="D30" s="5" t="str">
        <f t="shared" si="7"/>
        <v>0.8053 ± 0.0028</v>
      </c>
      <c r="E30" s="5" t="str">
        <f t="shared" si="8"/>
        <v>0.2723 ± 0.0048</v>
      </c>
    </row>
    <row r="31" spans="1:8" x14ac:dyDescent="0.25">
      <c r="A31" s="2" t="s">
        <v>34</v>
      </c>
      <c r="B31" s="6" t="s">
        <v>42</v>
      </c>
      <c r="C31" s="6" t="s">
        <v>36</v>
      </c>
      <c r="D31" s="6" t="str">
        <f t="shared" si="7"/>
        <v>0.8549 ± 0.0030</v>
      </c>
      <c r="E31" s="6" t="str">
        <f t="shared" si="8"/>
        <v>0.3642 ± 0.0063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2CBBA-BF81-42DC-9C27-98C741EFA65D}">
  <dimension ref="A1:H31"/>
  <sheetViews>
    <sheetView zoomScale="130" zoomScaleNormal="130" workbookViewId="0">
      <selection activeCell="J8" sqref="J8"/>
    </sheetView>
  </sheetViews>
  <sheetFormatPr baseColWidth="10" defaultRowHeight="15" x14ac:dyDescent="0.25"/>
  <cols>
    <col min="1" max="1" width="6.42578125" bestFit="1" customWidth="1"/>
    <col min="2" max="2" width="22" bestFit="1" customWidth="1"/>
    <col min="3" max="3" width="12.5703125" bestFit="1" customWidth="1"/>
    <col min="4" max="7" width="12" customWidth="1"/>
    <col min="8" max="9" width="21.42578125" bestFit="1" customWidth="1"/>
    <col min="10" max="10" width="15.140625" bestFit="1" customWidth="1"/>
    <col min="11" max="11" width="13.140625" bestFit="1" customWidth="1"/>
    <col min="12" max="12" width="17" bestFit="1" customWidth="1"/>
    <col min="13" max="16" width="13.140625" bestFit="1" customWidth="1"/>
    <col min="17" max="17" width="13.5703125" bestFit="1" customWidth="1"/>
    <col min="18" max="24" width="13.140625" bestFit="1" customWidth="1"/>
    <col min="25" max="25" width="13.85546875" bestFit="1" customWidth="1"/>
    <col min="26" max="26" width="13.140625" bestFit="1" customWidth="1"/>
    <col min="27" max="27" width="15.5703125" bestFit="1" customWidth="1"/>
    <col min="28" max="29" width="13.140625" bestFit="1" customWidth="1"/>
    <col min="30" max="30" width="23.140625" bestFit="1" customWidth="1"/>
    <col min="31" max="31" width="20.7109375" bestFit="1" customWidth="1"/>
    <col min="32" max="32" width="24.85546875" bestFit="1" customWidth="1"/>
    <col min="33" max="34" width="20.140625" bestFit="1" customWidth="1"/>
  </cols>
  <sheetData>
    <row r="1" spans="1:8" x14ac:dyDescent="0.25">
      <c r="A1" s="11" t="s">
        <v>0</v>
      </c>
      <c r="B1" s="12" t="s">
        <v>50</v>
      </c>
      <c r="C1" s="12" t="s">
        <v>51</v>
      </c>
      <c r="D1" s="12" t="s">
        <v>55</v>
      </c>
      <c r="E1" s="12" t="s">
        <v>54</v>
      </c>
      <c r="F1" s="12" t="s">
        <v>53</v>
      </c>
      <c r="G1" s="12" t="s">
        <v>52</v>
      </c>
    </row>
    <row r="2" spans="1:8" x14ac:dyDescent="0.25">
      <c r="A2" s="8" t="s">
        <v>34</v>
      </c>
      <c r="B2" s="1" t="s">
        <v>47</v>
      </c>
      <c r="C2" s="1" t="s">
        <v>36</v>
      </c>
      <c r="D2" s="7">
        <v>6.9135734835795602E-3</v>
      </c>
      <c r="E2" s="7">
        <v>0.36984392627040003</v>
      </c>
      <c r="F2" s="7">
        <v>0.38264145338371902</v>
      </c>
      <c r="G2" s="7">
        <f>+F2-E2</f>
        <v>1.2797527113318996E-2</v>
      </c>
    </row>
    <row r="3" spans="1:8" x14ac:dyDescent="0.25">
      <c r="A3" s="8" t="s">
        <v>34</v>
      </c>
      <c r="B3" s="1" t="s">
        <v>37</v>
      </c>
      <c r="C3" s="1" t="s">
        <v>38</v>
      </c>
      <c r="D3" s="7">
        <v>8.9416926403643703E-3</v>
      </c>
      <c r="E3" s="7">
        <v>0.32462903621587802</v>
      </c>
      <c r="F3" s="7">
        <v>0.33200602742964802</v>
      </c>
      <c r="G3" s="7">
        <f t="shared" ref="G3:G7" si="0">+F3-E3</f>
        <v>7.3769912137700011E-3</v>
      </c>
    </row>
    <row r="4" spans="1:8" x14ac:dyDescent="0.25">
      <c r="A4" s="8" t="s">
        <v>34</v>
      </c>
      <c r="B4" s="1" t="s">
        <v>39</v>
      </c>
      <c r="C4" s="1" t="s">
        <v>38</v>
      </c>
      <c r="D4" s="7">
        <v>7.38005468850689E-3</v>
      </c>
      <c r="E4" s="7">
        <v>0.32882119442747398</v>
      </c>
      <c r="F4" s="7">
        <v>0.33654050410289299</v>
      </c>
      <c r="G4" s="7">
        <f t="shared" si="0"/>
        <v>7.719309675419006E-3</v>
      </c>
    </row>
    <row r="5" spans="1:8" x14ac:dyDescent="0.25">
      <c r="A5" s="8" t="s">
        <v>34</v>
      </c>
      <c r="B5" s="1" t="s">
        <v>40</v>
      </c>
      <c r="C5" s="1" t="s">
        <v>36</v>
      </c>
      <c r="D5" s="7">
        <v>8.2051866870005499E-3</v>
      </c>
      <c r="E5" s="7">
        <v>0.36553809189382303</v>
      </c>
      <c r="F5" s="7">
        <v>0.37974533745896799</v>
      </c>
      <c r="G5" s="7">
        <f t="shared" si="0"/>
        <v>1.4207245565144966E-2</v>
      </c>
    </row>
    <row r="6" spans="1:8" x14ac:dyDescent="0.25">
      <c r="A6" s="8" t="s">
        <v>34</v>
      </c>
      <c r="B6" s="1" t="s">
        <v>41</v>
      </c>
      <c r="C6" s="1" t="s">
        <v>38</v>
      </c>
      <c r="D6" s="7">
        <v>4.7868596332372101E-3</v>
      </c>
      <c r="E6" s="7">
        <v>0.26885905677630401</v>
      </c>
      <c r="F6" s="7">
        <v>0.27630396441142002</v>
      </c>
      <c r="G6" s="7">
        <f t="shared" si="0"/>
        <v>7.4449076351160159E-3</v>
      </c>
    </row>
    <row r="7" spans="1:8" x14ac:dyDescent="0.25">
      <c r="A7" s="9" t="s">
        <v>34</v>
      </c>
      <c r="B7" s="2" t="s">
        <v>42</v>
      </c>
      <c r="C7" s="2" t="s">
        <v>36</v>
      </c>
      <c r="D7" s="10">
        <v>6.3439270628033798E-3</v>
      </c>
      <c r="E7" s="10">
        <v>0.36024514201352897</v>
      </c>
      <c r="F7" s="10">
        <v>0.37017199411088297</v>
      </c>
      <c r="G7" s="10">
        <f t="shared" si="0"/>
        <v>9.9268520973539998E-3</v>
      </c>
    </row>
    <row r="9" spans="1:8" x14ac:dyDescent="0.25">
      <c r="A9" t="s">
        <v>0</v>
      </c>
      <c r="B9" t="s">
        <v>1</v>
      </c>
      <c r="C9" t="s">
        <v>2</v>
      </c>
      <c r="D9" t="s">
        <v>3</v>
      </c>
      <c r="E9" t="s">
        <v>24</v>
      </c>
      <c r="F9" t="s">
        <v>25</v>
      </c>
      <c r="G9" t="s">
        <v>29</v>
      </c>
      <c r="H9" t="s">
        <v>30</v>
      </c>
    </row>
    <row r="10" spans="1:8" x14ac:dyDescent="0.25">
      <c r="A10" t="s">
        <v>34</v>
      </c>
      <c r="B10" t="s">
        <v>35</v>
      </c>
      <c r="C10" t="s">
        <v>36</v>
      </c>
      <c r="D10">
        <v>10</v>
      </c>
      <c r="E10">
        <v>0.85725758094626903</v>
      </c>
      <c r="F10">
        <v>2.3663512721234098E-3</v>
      </c>
      <c r="G10">
        <v>0.37614592209398401</v>
      </c>
      <c r="H10">
        <v>6.9135734835795602E-3</v>
      </c>
    </row>
    <row r="11" spans="1:8" x14ac:dyDescent="0.25">
      <c r="A11" t="s">
        <v>34</v>
      </c>
      <c r="B11" t="s">
        <v>37</v>
      </c>
      <c r="C11" t="s">
        <v>38</v>
      </c>
      <c r="D11">
        <v>10</v>
      </c>
      <c r="E11">
        <v>0.83039628218508099</v>
      </c>
      <c r="F11">
        <v>5.2048659940407199E-3</v>
      </c>
      <c r="G11">
        <v>0.32935024235239002</v>
      </c>
      <c r="H11">
        <v>8.9416926403643703E-3</v>
      </c>
    </row>
    <row r="12" spans="1:8" x14ac:dyDescent="0.25">
      <c r="A12" t="s">
        <v>34</v>
      </c>
      <c r="B12" t="s">
        <v>39</v>
      </c>
      <c r="C12" t="s">
        <v>38</v>
      </c>
      <c r="D12">
        <v>10</v>
      </c>
      <c r="E12">
        <v>0.83301661808112804</v>
      </c>
      <c r="F12">
        <v>3.2867873595698299E-3</v>
      </c>
      <c r="G12">
        <v>0.33186209958622798</v>
      </c>
      <c r="H12">
        <v>7.38005468850689E-3</v>
      </c>
    </row>
    <row r="13" spans="1:8" x14ac:dyDescent="0.25">
      <c r="A13" t="s">
        <v>34</v>
      </c>
      <c r="B13" t="s">
        <v>40</v>
      </c>
      <c r="C13" t="s">
        <v>36</v>
      </c>
      <c r="D13">
        <v>10</v>
      </c>
      <c r="E13">
        <v>0.85717469448017902</v>
      </c>
      <c r="F13">
        <v>2.7448290028829398E-3</v>
      </c>
      <c r="G13">
        <v>0.37316174379480599</v>
      </c>
      <c r="H13">
        <v>8.2051866870005499E-3</v>
      </c>
    </row>
    <row r="14" spans="1:8" x14ac:dyDescent="0.25">
      <c r="A14" t="s">
        <v>34</v>
      </c>
      <c r="B14" t="s">
        <v>41</v>
      </c>
      <c r="C14" t="s">
        <v>38</v>
      </c>
      <c r="D14">
        <v>10</v>
      </c>
      <c r="E14">
        <v>0.80531385173290304</v>
      </c>
      <c r="F14">
        <v>2.8201796788702299E-3</v>
      </c>
      <c r="G14">
        <v>0.27233893715242902</v>
      </c>
      <c r="H14">
        <v>4.7868596332372101E-3</v>
      </c>
    </row>
    <row r="15" spans="1:8" x14ac:dyDescent="0.25">
      <c r="A15" t="s">
        <v>34</v>
      </c>
      <c r="B15" t="s">
        <v>42</v>
      </c>
      <c r="C15" t="s">
        <v>36</v>
      </c>
      <c r="D15">
        <v>10</v>
      </c>
      <c r="E15">
        <v>0.854933207579052</v>
      </c>
      <c r="F15">
        <v>2.9584191142768301E-3</v>
      </c>
      <c r="G15">
        <v>0.364233828000118</v>
      </c>
      <c r="H15">
        <v>6.3439270628033798E-3</v>
      </c>
    </row>
    <row r="17" spans="1:8" x14ac:dyDescent="0.25">
      <c r="A17" t="s">
        <v>0</v>
      </c>
      <c r="B17" t="s">
        <v>1</v>
      </c>
      <c r="C17" t="s">
        <v>2</v>
      </c>
      <c r="D17" t="s">
        <v>3</v>
      </c>
      <c r="E17" t="str">
        <f t="shared" ref="E17:H17" si="1">E9</f>
        <v>roc_auc_mean</v>
      </c>
      <c r="F17" t="str">
        <f t="shared" si="1"/>
        <v>roc_auc_std</v>
      </c>
      <c r="G17" t="str">
        <f t="shared" si="1"/>
        <v>average_precision_mean</v>
      </c>
      <c r="H17" t="str">
        <f t="shared" si="1"/>
        <v>average_precision_std</v>
      </c>
    </row>
    <row r="18" spans="1:8" x14ac:dyDescent="0.25">
      <c r="A18" t="s">
        <v>34</v>
      </c>
      <c r="B18" t="s">
        <v>35</v>
      </c>
      <c r="C18" t="s">
        <v>36</v>
      </c>
      <c r="D18">
        <v>10</v>
      </c>
      <c r="E18" t="str">
        <f>+FIXED(E10,3)</f>
        <v>0.857</v>
      </c>
      <c r="F18" t="str">
        <f t="shared" ref="F18:H18" si="2">+FIXED(F10,3)</f>
        <v>0.002</v>
      </c>
      <c r="G18" t="str">
        <f t="shared" si="2"/>
        <v>0.376</v>
      </c>
      <c r="H18" t="str">
        <f t="shared" si="2"/>
        <v>0.007</v>
      </c>
    </row>
    <row r="19" spans="1:8" x14ac:dyDescent="0.25">
      <c r="A19" t="s">
        <v>34</v>
      </c>
      <c r="B19" t="s">
        <v>37</v>
      </c>
      <c r="C19" t="s">
        <v>38</v>
      </c>
      <c r="D19">
        <v>10</v>
      </c>
      <c r="E19" t="str">
        <f t="shared" ref="E19:H23" si="3">+FIXED(E11,3)</f>
        <v>0.830</v>
      </c>
      <c r="F19" t="str">
        <f t="shared" si="3"/>
        <v>0.005</v>
      </c>
      <c r="G19" t="str">
        <f t="shared" si="3"/>
        <v>0.329</v>
      </c>
      <c r="H19" t="str">
        <f t="shared" si="3"/>
        <v>0.009</v>
      </c>
    </row>
    <row r="20" spans="1:8" x14ac:dyDescent="0.25">
      <c r="A20" t="s">
        <v>34</v>
      </c>
      <c r="B20" t="s">
        <v>39</v>
      </c>
      <c r="C20" t="s">
        <v>38</v>
      </c>
      <c r="D20">
        <v>10</v>
      </c>
      <c r="E20" t="str">
        <f t="shared" si="3"/>
        <v>0.833</v>
      </c>
      <c r="F20" t="str">
        <f t="shared" si="3"/>
        <v>0.003</v>
      </c>
      <c r="G20" t="str">
        <f t="shared" si="3"/>
        <v>0.332</v>
      </c>
      <c r="H20" t="str">
        <f t="shared" si="3"/>
        <v>0.007</v>
      </c>
    </row>
    <row r="21" spans="1:8" x14ac:dyDescent="0.25">
      <c r="A21" t="s">
        <v>34</v>
      </c>
      <c r="B21" t="s">
        <v>40</v>
      </c>
      <c r="C21" t="s">
        <v>36</v>
      </c>
      <c r="D21">
        <v>10</v>
      </c>
      <c r="E21" t="str">
        <f t="shared" si="3"/>
        <v>0.857</v>
      </c>
      <c r="F21" t="str">
        <f t="shared" si="3"/>
        <v>0.003</v>
      </c>
      <c r="G21" t="str">
        <f t="shared" si="3"/>
        <v>0.373</v>
      </c>
      <c r="H21" t="str">
        <f t="shared" si="3"/>
        <v>0.008</v>
      </c>
    </row>
    <row r="22" spans="1:8" x14ac:dyDescent="0.25">
      <c r="A22" t="s">
        <v>34</v>
      </c>
      <c r="B22" t="s">
        <v>41</v>
      </c>
      <c r="C22" t="s">
        <v>38</v>
      </c>
      <c r="D22">
        <v>10</v>
      </c>
      <c r="E22" t="str">
        <f t="shared" si="3"/>
        <v>0.805</v>
      </c>
      <c r="F22" t="str">
        <f t="shared" si="3"/>
        <v>0.003</v>
      </c>
      <c r="G22" t="str">
        <f t="shared" si="3"/>
        <v>0.272</v>
      </c>
      <c r="H22" t="str">
        <f t="shared" si="3"/>
        <v>0.005</v>
      </c>
    </row>
    <row r="23" spans="1:8" x14ac:dyDescent="0.25">
      <c r="A23" t="s">
        <v>34</v>
      </c>
      <c r="B23" t="s">
        <v>42</v>
      </c>
      <c r="C23" t="s">
        <v>36</v>
      </c>
      <c r="D23">
        <v>10</v>
      </c>
      <c r="E23" t="str">
        <f t="shared" si="3"/>
        <v>0.855</v>
      </c>
      <c r="F23" t="str">
        <f t="shared" si="3"/>
        <v>0.003</v>
      </c>
      <c r="G23" t="str">
        <f t="shared" si="3"/>
        <v>0.364</v>
      </c>
      <c r="H23" t="str">
        <f t="shared" si="3"/>
        <v>0.006</v>
      </c>
    </row>
    <row r="25" spans="1:8" x14ac:dyDescent="0.25">
      <c r="A25" s="3"/>
      <c r="B25" s="4"/>
      <c r="C25" s="4"/>
      <c r="D25" s="4"/>
      <c r="E25" s="4"/>
    </row>
    <row r="26" spans="1:8" x14ac:dyDescent="0.25">
      <c r="A26" s="1"/>
      <c r="B26" s="5"/>
      <c r="C26" s="5"/>
      <c r="D26" s="5"/>
      <c r="E26" s="5"/>
    </row>
    <row r="27" spans="1:8" x14ac:dyDescent="0.25">
      <c r="A27" s="1"/>
      <c r="B27" s="5"/>
      <c r="C27" s="5"/>
      <c r="D27" s="5"/>
      <c r="E27" s="5"/>
    </row>
    <row r="28" spans="1:8" x14ac:dyDescent="0.25">
      <c r="A28" s="1"/>
      <c r="B28" s="5"/>
      <c r="C28" s="5"/>
      <c r="D28" s="5"/>
      <c r="E28" s="5"/>
    </row>
    <row r="29" spans="1:8" x14ac:dyDescent="0.25">
      <c r="A29" s="1"/>
      <c r="B29" s="5"/>
      <c r="C29" s="5"/>
      <c r="D29" s="5"/>
      <c r="E29" s="5"/>
    </row>
    <row r="30" spans="1:8" x14ac:dyDescent="0.25">
      <c r="A30" s="1"/>
      <c r="B30" s="5"/>
      <c r="C30" s="5"/>
      <c r="D30" s="5"/>
      <c r="E30" s="5"/>
    </row>
    <row r="31" spans="1:8" x14ac:dyDescent="0.25">
      <c r="A31" s="2"/>
      <c r="B31" s="6"/>
      <c r="C31" s="6"/>
      <c r="D31" s="6"/>
      <c r="E31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41E7A-2515-463D-851A-138D767151F0}">
  <dimension ref="A1:AH32"/>
  <sheetViews>
    <sheetView topLeftCell="A7" zoomScale="115" zoomScaleNormal="115" workbookViewId="0">
      <selection activeCell="D27" sqref="D27"/>
    </sheetView>
  </sheetViews>
  <sheetFormatPr baseColWidth="10" defaultRowHeight="15" x14ac:dyDescent="0.25"/>
  <cols>
    <col min="1" max="1" width="6.42578125" bestFit="1" customWidth="1"/>
    <col min="2" max="2" width="16.5703125" customWidth="1"/>
    <col min="3" max="3" width="12.5703125" bestFit="1" customWidth="1"/>
    <col min="4" max="4" width="16.5703125" customWidth="1"/>
    <col min="5" max="5" width="14" customWidth="1"/>
    <col min="6" max="6" width="14.7109375" customWidth="1"/>
    <col min="7" max="7" width="15" customWidth="1"/>
    <col min="8" max="9" width="21.42578125" bestFit="1" customWidth="1"/>
    <col min="10" max="10" width="15.140625" bestFit="1" customWidth="1"/>
    <col min="11" max="11" width="13.140625" bestFit="1" customWidth="1"/>
    <col min="12" max="12" width="17" bestFit="1" customWidth="1"/>
    <col min="13" max="16" width="13.140625" bestFit="1" customWidth="1"/>
    <col min="17" max="17" width="13.5703125" bestFit="1" customWidth="1"/>
    <col min="18" max="24" width="13.140625" bestFit="1" customWidth="1"/>
    <col min="25" max="25" width="13.85546875" bestFit="1" customWidth="1"/>
    <col min="26" max="26" width="13.140625" bestFit="1" customWidth="1"/>
    <col min="27" max="27" width="15.5703125" bestFit="1" customWidth="1"/>
    <col min="28" max="29" width="13.140625" bestFit="1" customWidth="1"/>
    <col min="30" max="30" width="23.140625" bestFit="1" customWidth="1"/>
    <col min="31" max="31" width="20.7109375" bestFit="1" customWidth="1"/>
    <col min="32" max="32" width="24.85546875" bestFit="1" customWidth="1"/>
    <col min="33" max="34" width="20.14062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>
        <v>10</v>
      </c>
      <c r="E2">
        <v>0.77352533334616902</v>
      </c>
      <c r="F2">
        <v>3.4764472759837698E-3</v>
      </c>
      <c r="G2">
        <v>0.77378935906738</v>
      </c>
      <c r="H2">
        <v>0.77019175764988601</v>
      </c>
      <c r="I2">
        <v>0.77556189939167697</v>
      </c>
      <c r="J2">
        <v>0.23692082174460399</v>
      </c>
      <c r="K2">
        <v>4.4643407709405699E-3</v>
      </c>
      <c r="L2">
        <v>0.23565469225097399</v>
      </c>
      <c r="M2">
        <v>0.2339929033739</v>
      </c>
      <c r="N2">
        <v>0.23944991966967699</v>
      </c>
      <c r="O2">
        <v>0.71123670212765899</v>
      </c>
      <c r="P2">
        <v>1.0280439386631E-2</v>
      </c>
      <c r="Q2">
        <v>0.70861037234042501</v>
      </c>
      <c r="R2">
        <v>0.70304188829787195</v>
      </c>
      <c r="S2">
        <v>0.72066156914893598</v>
      </c>
      <c r="T2">
        <v>0.35539097872583197</v>
      </c>
      <c r="U2">
        <v>4.5048280871877898E-3</v>
      </c>
      <c r="V2">
        <v>0.35424159021206503</v>
      </c>
      <c r="W2">
        <v>0.35181880069774901</v>
      </c>
      <c r="X2">
        <v>0.35851895784330401</v>
      </c>
      <c r="Y2">
        <v>0.85725758094626903</v>
      </c>
      <c r="Z2">
        <v>2.3663512721234098E-3</v>
      </c>
      <c r="AA2">
        <v>0.85599081467645299</v>
      </c>
      <c r="AB2">
        <v>0.855805461053181</v>
      </c>
      <c r="AC2">
        <v>0.85944173260870604</v>
      </c>
      <c r="AD2">
        <v>0.37614592209398401</v>
      </c>
      <c r="AE2">
        <v>6.9135734835795602E-3</v>
      </c>
      <c r="AF2">
        <v>0.37418131262594601</v>
      </c>
      <c r="AG2">
        <v>0.36984392627040003</v>
      </c>
      <c r="AH2">
        <v>0.38264145338371902</v>
      </c>
    </row>
    <row r="3" spans="1:34" x14ac:dyDescent="0.25">
      <c r="A3" t="s">
        <v>34</v>
      </c>
      <c r="B3" t="s">
        <v>37</v>
      </c>
      <c r="C3" t="s">
        <v>38</v>
      </c>
      <c r="D3">
        <v>10</v>
      </c>
      <c r="E3">
        <v>0.75373000378998201</v>
      </c>
      <c r="F3">
        <v>4.2269615579461697E-3</v>
      </c>
      <c r="G3">
        <v>0.75366839441048505</v>
      </c>
      <c r="H3">
        <v>0.75293119567100897</v>
      </c>
      <c r="I3">
        <v>0.75498877635760397</v>
      </c>
      <c r="J3">
        <v>0.206345264379107</v>
      </c>
      <c r="K3">
        <v>1.16482454133854E-2</v>
      </c>
      <c r="L3">
        <v>0.20828281120306899</v>
      </c>
      <c r="M3">
        <v>0.19746199666181799</v>
      </c>
      <c r="N3">
        <v>0.210449427463551</v>
      </c>
      <c r="O3">
        <v>0.70199468085106298</v>
      </c>
      <c r="P3">
        <v>2.6112633422624602E-2</v>
      </c>
      <c r="Q3">
        <v>0.70711436170212705</v>
      </c>
      <c r="R3">
        <v>0.69232047872340396</v>
      </c>
      <c r="S3">
        <v>0.72041223404255295</v>
      </c>
      <c r="T3">
        <v>0.31850517392500999</v>
      </c>
      <c r="U3">
        <v>1.1254977762803301E-2</v>
      </c>
      <c r="V3">
        <v>0.32096372877113299</v>
      </c>
      <c r="W3">
        <v>0.30995498052692699</v>
      </c>
      <c r="X3">
        <v>0.32346672079206601</v>
      </c>
      <c r="Y3">
        <v>0.83039628218508099</v>
      </c>
      <c r="Z3">
        <v>5.2048659940407199E-3</v>
      </c>
      <c r="AA3">
        <v>0.82935851565128405</v>
      </c>
      <c r="AB3">
        <v>0.82689518154483799</v>
      </c>
      <c r="AC3">
        <v>0.83324659238854504</v>
      </c>
      <c r="AD3">
        <v>0.32935024235239002</v>
      </c>
      <c r="AE3">
        <v>8.9416926403643703E-3</v>
      </c>
      <c r="AF3">
        <v>0.32832506613652201</v>
      </c>
      <c r="AG3">
        <v>0.32462903621587802</v>
      </c>
      <c r="AH3">
        <v>0.33200602742964802</v>
      </c>
    </row>
    <row r="4" spans="1:34" x14ac:dyDescent="0.25">
      <c r="A4" t="s">
        <v>34</v>
      </c>
      <c r="B4" t="s">
        <v>39</v>
      </c>
      <c r="C4" t="s">
        <v>38</v>
      </c>
      <c r="D4">
        <v>10</v>
      </c>
      <c r="E4">
        <v>0.75346024939400802</v>
      </c>
      <c r="F4">
        <v>2.5399252856549998E-3</v>
      </c>
      <c r="G4">
        <v>0.75434837765450702</v>
      </c>
      <c r="H4">
        <v>0.75278532663769804</v>
      </c>
      <c r="I4">
        <v>0.75493099876166803</v>
      </c>
      <c r="J4">
        <v>0.18993016659390499</v>
      </c>
      <c r="K4">
        <v>1.71204341442946E-3</v>
      </c>
      <c r="L4">
        <v>0.19009887091453001</v>
      </c>
      <c r="M4">
        <v>0.189136351403171</v>
      </c>
      <c r="N4">
        <v>0.19062920907443101</v>
      </c>
      <c r="O4">
        <v>0.72995345744680795</v>
      </c>
      <c r="P4">
        <v>5.9181134685755404E-3</v>
      </c>
      <c r="Q4">
        <v>0.72972074468085102</v>
      </c>
      <c r="R4">
        <v>0.72747672872340396</v>
      </c>
      <c r="S4">
        <v>0.73346077127659504</v>
      </c>
      <c r="T4">
        <v>0.3014242128522</v>
      </c>
      <c r="U4">
        <v>2.2780962391970899E-3</v>
      </c>
      <c r="V4">
        <v>0.30157412262868399</v>
      </c>
      <c r="W4">
        <v>0.30100204290918098</v>
      </c>
      <c r="X4">
        <v>0.30214923574946401</v>
      </c>
      <c r="Y4">
        <v>0.83301661808112804</v>
      </c>
      <c r="Z4">
        <v>3.2867873595698299E-3</v>
      </c>
      <c r="AA4">
        <v>0.83344770560717196</v>
      </c>
      <c r="AB4">
        <v>0.83222675210995101</v>
      </c>
      <c r="AC4">
        <v>0.83472084241508204</v>
      </c>
      <c r="AD4">
        <v>0.33186209958622798</v>
      </c>
      <c r="AE4">
        <v>7.38005468850689E-3</v>
      </c>
      <c r="AF4">
        <v>0.33185578344232303</v>
      </c>
      <c r="AG4">
        <v>0.32882119442747398</v>
      </c>
      <c r="AH4">
        <v>0.33654050410289299</v>
      </c>
    </row>
    <row r="5" spans="1:34" x14ac:dyDescent="0.25">
      <c r="A5" t="s">
        <v>34</v>
      </c>
      <c r="B5" t="s">
        <v>40</v>
      </c>
      <c r="C5" t="s">
        <v>36</v>
      </c>
      <c r="D5">
        <v>10</v>
      </c>
      <c r="E5">
        <v>0.77412230939125104</v>
      </c>
      <c r="F5">
        <v>3.8770120041736801E-3</v>
      </c>
      <c r="G5">
        <v>0.77342241037299897</v>
      </c>
      <c r="H5">
        <v>0.77096274575349699</v>
      </c>
      <c r="I5">
        <v>0.77719019364884001</v>
      </c>
      <c r="J5">
        <v>0.23701613134934299</v>
      </c>
      <c r="K5">
        <v>2.2727174731492199E-3</v>
      </c>
      <c r="L5">
        <v>0.237371062628946</v>
      </c>
      <c r="M5">
        <v>0.23628973640873599</v>
      </c>
      <c r="N5">
        <v>0.23886533234982399</v>
      </c>
      <c r="O5">
        <v>0.71259973404255295</v>
      </c>
      <c r="P5">
        <v>1.1236997194917201E-2</v>
      </c>
      <c r="Q5">
        <v>0.71160239361702105</v>
      </c>
      <c r="R5">
        <v>0.70387300531914898</v>
      </c>
      <c r="S5">
        <v>0.72398603723404198</v>
      </c>
      <c r="T5">
        <v>0.35568765920427903</v>
      </c>
      <c r="U5">
        <v>2.1772062156698198E-3</v>
      </c>
      <c r="V5">
        <v>0.355800840188013</v>
      </c>
      <c r="W5">
        <v>0.35507139047276198</v>
      </c>
      <c r="X5">
        <v>0.35685689224716599</v>
      </c>
      <c r="Y5">
        <v>0.85717469448017902</v>
      </c>
      <c r="Z5">
        <v>2.7448290028829398E-3</v>
      </c>
      <c r="AA5">
        <v>0.85581792919396005</v>
      </c>
      <c r="AB5">
        <v>0.85491888213161404</v>
      </c>
      <c r="AC5">
        <v>0.85902271144035003</v>
      </c>
      <c r="AD5">
        <v>0.37316174379480599</v>
      </c>
      <c r="AE5">
        <v>8.2051866870005499E-3</v>
      </c>
      <c r="AF5">
        <v>0.374151110701677</v>
      </c>
      <c r="AG5">
        <v>0.36553809189382303</v>
      </c>
      <c r="AH5">
        <v>0.37974533745896799</v>
      </c>
    </row>
    <row r="6" spans="1:34" x14ac:dyDescent="0.25">
      <c r="A6" t="s">
        <v>34</v>
      </c>
      <c r="B6" t="s">
        <v>41</v>
      </c>
      <c r="C6" t="s">
        <v>38</v>
      </c>
      <c r="D6">
        <v>10</v>
      </c>
      <c r="E6">
        <v>0.73728928673850702</v>
      </c>
      <c r="F6">
        <v>2.3733428715109902E-3</v>
      </c>
      <c r="G6">
        <v>0.73731081122848097</v>
      </c>
      <c r="H6">
        <v>0.735428415886207</v>
      </c>
      <c r="I6">
        <v>0.738275652745913</v>
      </c>
      <c r="J6">
        <v>0.172397986299206</v>
      </c>
      <c r="K6">
        <v>8.2312612535987198E-4</v>
      </c>
      <c r="L6">
        <v>0.172298290957905</v>
      </c>
      <c r="M6">
        <v>0.17203927105703901</v>
      </c>
      <c r="N6">
        <v>0.17291805634594301</v>
      </c>
      <c r="O6">
        <v>0.72330452127659495</v>
      </c>
      <c r="P6">
        <v>5.6047942214052602E-3</v>
      </c>
      <c r="Q6">
        <v>0.72240691489361697</v>
      </c>
      <c r="R6">
        <v>0.71899933510638303</v>
      </c>
      <c r="S6">
        <v>0.72631316489361697</v>
      </c>
      <c r="T6">
        <v>0.278430944428046</v>
      </c>
      <c r="U6">
        <v>1.3816126187571999E-3</v>
      </c>
      <c r="V6">
        <v>0.27834546176133301</v>
      </c>
      <c r="W6">
        <v>0.27757605180095002</v>
      </c>
      <c r="X6">
        <v>0.27946195808233698</v>
      </c>
      <c r="Y6">
        <v>0.80531385173290304</v>
      </c>
      <c r="Z6">
        <v>2.8201796788702299E-3</v>
      </c>
      <c r="AA6">
        <v>0.80543422871770398</v>
      </c>
      <c r="AB6">
        <v>0.80323185965576505</v>
      </c>
      <c r="AC6">
        <v>0.80743676907936801</v>
      </c>
      <c r="AD6">
        <v>0.27233893715242902</v>
      </c>
      <c r="AE6">
        <v>4.7868596332372101E-3</v>
      </c>
      <c r="AF6">
        <v>0.27180517510306101</v>
      </c>
      <c r="AG6">
        <v>0.26885905677630401</v>
      </c>
      <c r="AH6">
        <v>0.27630396441142002</v>
      </c>
    </row>
    <row r="7" spans="1:34" x14ac:dyDescent="0.25">
      <c r="A7" t="s">
        <v>34</v>
      </c>
      <c r="B7" t="s">
        <v>42</v>
      </c>
      <c r="C7" t="s">
        <v>36</v>
      </c>
      <c r="D7">
        <v>10</v>
      </c>
      <c r="E7">
        <v>0.76185649470213102</v>
      </c>
      <c r="F7">
        <v>5.5187567819795702E-3</v>
      </c>
      <c r="G7">
        <v>0.76106718845636201</v>
      </c>
      <c r="H7">
        <v>0.75858764448040705</v>
      </c>
      <c r="I7">
        <v>0.76566074484045599</v>
      </c>
      <c r="J7">
        <v>0.27003775214366399</v>
      </c>
      <c r="K7">
        <v>4.8280735486512299E-3</v>
      </c>
      <c r="L7">
        <v>0.26970961462158499</v>
      </c>
      <c r="M7">
        <v>0.26650577510553802</v>
      </c>
      <c r="N7">
        <v>0.27338682282097798</v>
      </c>
      <c r="O7">
        <v>0.64953457446808505</v>
      </c>
      <c r="P7">
        <v>1.3052553975503599E-2</v>
      </c>
      <c r="Q7">
        <v>0.64611037234042501</v>
      </c>
      <c r="R7">
        <v>0.64104055851063801</v>
      </c>
      <c r="S7">
        <v>0.66248337765957399</v>
      </c>
      <c r="T7">
        <v>0.381429316406248</v>
      </c>
      <c r="U7">
        <v>5.3857325074069999E-3</v>
      </c>
      <c r="V7">
        <v>0.38085428826194001</v>
      </c>
      <c r="W7">
        <v>0.37829459680965599</v>
      </c>
      <c r="X7">
        <v>0.38387505647092901</v>
      </c>
      <c r="Y7">
        <v>0.854933207579052</v>
      </c>
      <c r="Z7">
        <v>2.9584191142768301E-3</v>
      </c>
      <c r="AA7">
        <v>0.853442108590592</v>
      </c>
      <c r="AB7">
        <v>0.85280458174593998</v>
      </c>
      <c r="AC7">
        <v>0.85699798988117704</v>
      </c>
      <c r="AD7">
        <v>0.364233828000118</v>
      </c>
      <c r="AE7">
        <v>6.3439270628033798E-3</v>
      </c>
      <c r="AF7">
        <v>0.36219594003758399</v>
      </c>
      <c r="AG7">
        <v>0.36024514201352897</v>
      </c>
      <c r="AH7">
        <v>0.37017199411088297</v>
      </c>
    </row>
    <row r="9" spans="1:34" x14ac:dyDescent="0.25">
      <c r="A9" t="s">
        <v>0</v>
      </c>
      <c r="B9" t="s">
        <v>1</v>
      </c>
      <c r="C9" t="s">
        <v>2</v>
      </c>
      <c r="D9" t="s">
        <v>4</v>
      </c>
      <c r="E9" t="s">
        <v>5</v>
      </c>
      <c r="F9" t="s">
        <v>19</v>
      </c>
      <c r="G9" t="s">
        <v>20</v>
      </c>
      <c r="H9" t="s">
        <v>29</v>
      </c>
      <c r="I9" t="s">
        <v>30</v>
      </c>
      <c r="J9" t="s">
        <v>24</v>
      </c>
      <c r="K9" t="s">
        <v>25</v>
      </c>
    </row>
    <row r="10" spans="1:34" x14ac:dyDescent="0.25">
      <c r="A10" t="s">
        <v>34</v>
      </c>
      <c r="B10" t="s">
        <v>35</v>
      </c>
      <c r="C10" t="s">
        <v>36</v>
      </c>
      <c r="D10">
        <v>0.77352533334616902</v>
      </c>
      <c r="E10">
        <v>3.4764472759837698E-3</v>
      </c>
      <c r="F10">
        <v>0.35539097872583197</v>
      </c>
      <c r="G10">
        <v>4.5048280871877898E-3</v>
      </c>
      <c r="H10">
        <v>0.37614592209398401</v>
      </c>
      <c r="I10">
        <v>6.9135734835795602E-3</v>
      </c>
      <c r="J10">
        <v>0.85725758094626903</v>
      </c>
      <c r="K10">
        <v>2.3663512721234098E-3</v>
      </c>
    </row>
    <row r="11" spans="1:34" x14ac:dyDescent="0.25">
      <c r="A11" t="s">
        <v>34</v>
      </c>
      <c r="B11" t="s">
        <v>37</v>
      </c>
      <c r="C11" t="s">
        <v>38</v>
      </c>
      <c r="D11">
        <v>0.75373000378998201</v>
      </c>
      <c r="E11">
        <v>4.2269615579461697E-3</v>
      </c>
      <c r="F11">
        <v>0.31850517392500999</v>
      </c>
      <c r="G11">
        <v>1.1254977762803301E-2</v>
      </c>
      <c r="H11">
        <v>0.32935024235239002</v>
      </c>
      <c r="I11">
        <v>8.9416926403643703E-3</v>
      </c>
      <c r="J11">
        <v>0.83039628218508099</v>
      </c>
      <c r="K11">
        <v>5.2048659940407199E-3</v>
      </c>
    </row>
    <row r="12" spans="1:34" x14ac:dyDescent="0.25">
      <c r="A12" t="s">
        <v>34</v>
      </c>
      <c r="B12" t="s">
        <v>39</v>
      </c>
      <c r="C12" t="s">
        <v>38</v>
      </c>
      <c r="D12">
        <v>0.75346024939400802</v>
      </c>
      <c r="E12">
        <v>2.5399252856549998E-3</v>
      </c>
      <c r="F12">
        <v>0.3014242128522</v>
      </c>
      <c r="G12">
        <v>2.2780962391970899E-3</v>
      </c>
      <c r="H12">
        <v>0.33186209958622798</v>
      </c>
      <c r="I12">
        <v>7.38005468850689E-3</v>
      </c>
      <c r="J12">
        <v>0.83301661808112804</v>
      </c>
      <c r="K12">
        <v>3.2867873595698299E-3</v>
      </c>
    </row>
    <row r="13" spans="1:34" x14ac:dyDescent="0.25">
      <c r="A13" t="s">
        <v>34</v>
      </c>
      <c r="B13" t="s">
        <v>40</v>
      </c>
      <c r="C13" t="s">
        <v>36</v>
      </c>
      <c r="D13">
        <v>0.77412230939125104</v>
      </c>
      <c r="E13">
        <v>3.8770120041736801E-3</v>
      </c>
      <c r="F13">
        <v>0.35568765920427903</v>
      </c>
      <c r="G13">
        <v>2.1772062156698198E-3</v>
      </c>
      <c r="H13">
        <v>0.37316174379480599</v>
      </c>
      <c r="I13">
        <v>8.2051866870005499E-3</v>
      </c>
      <c r="J13">
        <v>0.85717469448017902</v>
      </c>
      <c r="K13">
        <v>2.7448290028829398E-3</v>
      </c>
    </row>
    <row r="14" spans="1:34" x14ac:dyDescent="0.25">
      <c r="A14" t="s">
        <v>34</v>
      </c>
      <c r="B14" t="s">
        <v>41</v>
      </c>
      <c r="C14" t="s">
        <v>38</v>
      </c>
      <c r="D14">
        <v>0.73728928673850702</v>
      </c>
      <c r="E14">
        <v>2.3733428715109902E-3</v>
      </c>
      <c r="F14">
        <v>0.278430944428046</v>
      </c>
      <c r="G14">
        <v>1.3816126187571999E-3</v>
      </c>
      <c r="H14">
        <v>0.27233893715242902</v>
      </c>
      <c r="I14">
        <v>4.7868596332372101E-3</v>
      </c>
      <c r="J14">
        <v>0.80531385173290304</v>
      </c>
      <c r="K14">
        <v>2.8201796788702299E-3</v>
      </c>
    </row>
    <row r="15" spans="1:34" x14ac:dyDescent="0.25">
      <c r="A15" t="s">
        <v>34</v>
      </c>
      <c r="B15" t="s">
        <v>42</v>
      </c>
      <c r="C15" t="s">
        <v>36</v>
      </c>
      <c r="D15">
        <v>0.76185649470213102</v>
      </c>
      <c r="E15">
        <v>5.5187567819795702E-3</v>
      </c>
      <c r="F15">
        <v>0.381429316406248</v>
      </c>
      <c r="G15">
        <v>5.3857325074069999E-3</v>
      </c>
      <c r="H15">
        <v>0.364233828000118</v>
      </c>
      <c r="I15">
        <v>6.3439270628033798E-3</v>
      </c>
      <c r="J15">
        <v>0.854933207579052</v>
      </c>
      <c r="K15">
        <v>2.9584191142768301E-3</v>
      </c>
    </row>
    <row r="17" spans="1:11" x14ac:dyDescent="0.25">
      <c r="A17" t="s">
        <v>0</v>
      </c>
      <c r="B17" t="s">
        <v>1</v>
      </c>
      <c r="C17" t="s">
        <v>2</v>
      </c>
      <c r="D17" t="s">
        <v>4</v>
      </c>
      <c r="E17" t="s">
        <v>5</v>
      </c>
      <c r="F17" t="s">
        <v>19</v>
      </c>
      <c r="G17" t="s">
        <v>20</v>
      </c>
      <c r="H17" t="s">
        <v>29</v>
      </c>
      <c r="I17" t="s">
        <v>30</v>
      </c>
      <c r="J17" t="s">
        <v>24</v>
      </c>
      <c r="K17" t="s">
        <v>25</v>
      </c>
    </row>
    <row r="18" spans="1:11" x14ac:dyDescent="0.25">
      <c r="A18" t="s">
        <v>34</v>
      </c>
      <c r="B18" t="s">
        <v>35</v>
      </c>
      <c r="C18" t="s">
        <v>36</v>
      </c>
      <c r="D18" t="str">
        <f>+FIXED(D10,4)</f>
        <v>0.7735</v>
      </c>
      <c r="E18" t="str">
        <f t="shared" ref="E18:K18" si="0">+FIXED(E10,4)</f>
        <v>0.0035</v>
      </c>
      <c r="F18" t="str">
        <f t="shared" si="0"/>
        <v>0.3554</v>
      </c>
      <c r="G18" t="str">
        <f t="shared" si="0"/>
        <v>0.0045</v>
      </c>
      <c r="H18" t="str">
        <f t="shared" si="0"/>
        <v>0.3761</v>
      </c>
      <c r="I18" t="str">
        <f t="shared" si="0"/>
        <v>0.0069</v>
      </c>
      <c r="J18" t="str">
        <f t="shared" si="0"/>
        <v>0.8573</v>
      </c>
      <c r="K18" t="str">
        <f t="shared" si="0"/>
        <v>0.0024</v>
      </c>
    </row>
    <row r="19" spans="1:11" x14ac:dyDescent="0.25">
      <c r="A19" t="s">
        <v>34</v>
      </c>
      <c r="B19" t="s">
        <v>37</v>
      </c>
      <c r="C19" t="s">
        <v>38</v>
      </c>
      <c r="D19" t="str">
        <f t="shared" ref="D19:K19" si="1">+FIXED(D11,4)</f>
        <v>0.7537</v>
      </c>
      <c r="E19" t="str">
        <f t="shared" si="1"/>
        <v>0.0042</v>
      </c>
      <c r="F19" t="str">
        <f t="shared" si="1"/>
        <v>0.3185</v>
      </c>
      <c r="G19" t="str">
        <f t="shared" si="1"/>
        <v>0.0113</v>
      </c>
      <c r="H19" t="str">
        <f t="shared" si="1"/>
        <v>0.3294</v>
      </c>
      <c r="I19" t="str">
        <f t="shared" si="1"/>
        <v>0.0089</v>
      </c>
      <c r="J19" t="str">
        <f t="shared" si="1"/>
        <v>0.8304</v>
      </c>
      <c r="K19" t="str">
        <f t="shared" si="1"/>
        <v>0.0052</v>
      </c>
    </row>
    <row r="20" spans="1:11" x14ac:dyDescent="0.25">
      <c r="A20" t="s">
        <v>34</v>
      </c>
      <c r="B20" t="s">
        <v>39</v>
      </c>
      <c r="C20" t="s">
        <v>38</v>
      </c>
      <c r="D20" t="str">
        <f t="shared" ref="D20:K20" si="2">+FIXED(D12,4)</f>
        <v>0.7535</v>
      </c>
      <c r="E20" t="str">
        <f t="shared" si="2"/>
        <v>0.0025</v>
      </c>
      <c r="F20" t="str">
        <f t="shared" si="2"/>
        <v>0.3014</v>
      </c>
      <c r="G20" t="str">
        <f t="shared" si="2"/>
        <v>0.0023</v>
      </c>
      <c r="H20" t="str">
        <f t="shared" si="2"/>
        <v>0.3319</v>
      </c>
      <c r="I20" t="str">
        <f t="shared" si="2"/>
        <v>0.0074</v>
      </c>
      <c r="J20" t="str">
        <f t="shared" si="2"/>
        <v>0.8330</v>
      </c>
      <c r="K20" t="str">
        <f t="shared" si="2"/>
        <v>0.0033</v>
      </c>
    </row>
    <row r="21" spans="1:11" x14ac:dyDescent="0.25">
      <c r="A21" t="s">
        <v>34</v>
      </c>
      <c r="B21" t="s">
        <v>40</v>
      </c>
      <c r="C21" t="s">
        <v>36</v>
      </c>
      <c r="D21" t="str">
        <f t="shared" ref="D21:K21" si="3">+FIXED(D13,4)</f>
        <v>0.7741</v>
      </c>
      <c r="E21" t="str">
        <f t="shared" si="3"/>
        <v>0.0039</v>
      </c>
      <c r="F21" t="str">
        <f t="shared" si="3"/>
        <v>0.3557</v>
      </c>
      <c r="G21" t="str">
        <f t="shared" si="3"/>
        <v>0.0022</v>
      </c>
      <c r="H21" t="str">
        <f t="shared" si="3"/>
        <v>0.3732</v>
      </c>
      <c r="I21" t="str">
        <f t="shared" si="3"/>
        <v>0.0082</v>
      </c>
      <c r="J21" t="str">
        <f t="shared" si="3"/>
        <v>0.8572</v>
      </c>
      <c r="K21" t="str">
        <f t="shared" si="3"/>
        <v>0.0027</v>
      </c>
    </row>
    <row r="22" spans="1:11" x14ac:dyDescent="0.25">
      <c r="A22" t="s">
        <v>34</v>
      </c>
      <c r="B22" t="s">
        <v>41</v>
      </c>
      <c r="C22" t="s">
        <v>38</v>
      </c>
      <c r="D22" t="str">
        <f t="shared" ref="D22:K22" si="4">+FIXED(D14,4)</f>
        <v>0.7373</v>
      </c>
      <c r="E22" t="str">
        <f t="shared" si="4"/>
        <v>0.0024</v>
      </c>
      <c r="F22" t="str">
        <f t="shared" si="4"/>
        <v>0.2784</v>
      </c>
      <c r="G22" t="str">
        <f t="shared" si="4"/>
        <v>0.0014</v>
      </c>
      <c r="H22" t="str">
        <f t="shared" si="4"/>
        <v>0.2723</v>
      </c>
      <c r="I22" t="str">
        <f t="shared" si="4"/>
        <v>0.0048</v>
      </c>
      <c r="J22" t="str">
        <f t="shared" si="4"/>
        <v>0.8053</v>
      </c>
      <c r="K22" t="str">
        <f t="shared" si="4"/>
        <v>0.0028</v>
      </c>
    </row>
    <row r="23" spans="1:11" x14ac:dyDescent="0.25">
      <c r="A23" t="s">
        <v>34</v>
      </c>
      <c r="B23" t="s">
        <v>42</v>
      </c>
      <c r="C23" t="s">
        <v>36</v>
      </c>
      <c r="D23" t="str">
        <f t="shared" ref="D23:K23" si="5">+FIXED(D15,4)</f>
        <v>0.7619</v>
      </c>
      <c r="E23" t="str">
        <f t="shared" si="5"/>
        <v>0.0055</v>
      </c>
      <c r="F23" t="str">
        <f t="shared" si="5"/>
        <v>0.3814</v>
      </c>
      <c r="G23" t="str">
        <f t="shared" si="5"/>
        <v>0.0054</v>
      </c>
      <c r="H23" t="str">
        <f t="shared" si="5"/>
        <v>0.3642</v>
      </c>
      <c r="I23" t="str">
        <f t="shared" si="5"/>
        <v>0.0063</v>
      </c>
      <c r="J23" t="str">
        <f t="shared" si="5"/>
        <v>0.8549</v>
      </c>
      <c r="K23" t="str">
        <f t="shared" si="5"/>
        <v>0.0030</v>
      </c>
    </row>
    <row r="26" spans="1:11" ht="25.5" x14ac:dyDescent="0.25">
      <c r="A26" s="13" t="s">
        <v>0</v>
      </c>
      <c r="B26" s="15" t="s">
        <v>50</v>
      </c>
      <c r="C26" s="15" t="s">
        <v>51</v>
      </c>
      <c r="D26" s="15" t="s">
        <v>43</v>
      </c>
      <c r="E26" s="15" t="s">
        <v>46</v>
      </c>
      <c r="F26" s="15" t="s">
        <v>49</v>
      </c>
      <c r="G26" s="16" t="s">
        <v>56</v>
      </c>
      <c r="H26" s="14"/>
      <c r="I26" s="14"/>
    </row>
    <row r="27" spans="1:11" x14ac:dyDescent="0.25">
      <c r="A27" s="1" t="s">
        <v>34</v>
      </c>
      <c r="B27" s="1" t="s">
        <v>47</v>
      </c>
      <c r="C27" s="1" t="s">
        <v>36</v>
      </c>
      <c r="D27" s="1" t="str">
        <f>+_xlfn.CONCAT(D18," ± ",E18)</f>
        <v>0.7735 ± 0.0035</v>
      </c>
      <c r="E27" s="1" t="str">
        <f>+_xlfn.CONCAT(F18," ± ",G18)</f>
        <v>0.3554 ± 0.0045</v>
      </c>
      <c r="F27" s="1" t="str">
        <f>+_xlfn.CONCAT(H18," ± ",I18)</f>
        <v>0.3761 ± 0.0069</v>
      </c>
      <c r="G27" s="1" t="str">
        <f>+_xlfn.CONCAT(J18," ± ",K18)</f>
        <v>0.8573 ± 0.0024</v>
      </c>
    </row>
    <row r="28" spans="1:11" x14ac:dyDescent="0.25">
      <c r="A28" s="1" t="s">
        <v>34</v>
      </c>
      <c r="B28" s="1" t="s">
        <v>37</v>
      </c>
      <c r="C28" s="1" t="s">
        <v>38</v>
      </c>
      <c r="D28" s="1" t="str">
        <f t="shared" ref="D28:D32" si="6">+_xlfn.CONCAT(D19," ± ",E19)</f>
        <v>0.7537 ± 0.0042</v>
      </c>
      <c r="E28" s="1" t="str">
        <f t="shared" ref="E28:E32" si="7">+_xlfn.CONCAT(F19," ± ",G19)</f>
        <v>0.3185 ± 0.0113</v>
      </c>
      <c r="F28" s="1" t="str">
        <f t="shared" ref="F28:F32" si="8">+_xlfn.CONCAT(H19," ± ",I19)</f>
        <v>0.3294 ± 0.0089</v>
      </c>
      <c r="G28" s="1" t="str">
        <f t="shared" ref="G28:G32" si="9">+_xlfn.CONCAT(J19," ± ",K19)</f>
        <v>0.8304 ± 0.0052</v>
      </c>
    </row>
    <row r="29" spans="1:11" x14ac:dyDescent="0.25">
      <c r="A29" s="1" t="s">
        <v>34</v>
      </c>
      <c r="B29" s="1" t="s">
        <v>39</v>
      </c>
      <c r="C29" s="1" t="s">
        <v>38</v>
      </c>
      <c r="D29" s="1" t="str">
        <f t="shared" si="6"/>
        <v>0.7535 ± 0.0025</v>
      </c>
      <c r="E29" s="1" t="str">
        <f t="shared" si="7"/>
        <v>0.3014 ± 0.0023</v>
      </c>
      <c r="F29" s="1" t="str">
        <f t="shared" si="8"/>
        <v>0.3319 ± 0.0074</v>
      </c>
      <c r="G29" s="1" t="str">
        <f t="shared" si="9"/>
        <v>0.8330 ± 0.0033</v>
      </c>
    </row>
    <row r="30" spans="1:11" x14ac:dyDescent="0.25">
      <c r="A30" s="1" t="s">
        <v>34</v>
      </c>
      <c r="B30" s="1" t="s">
        <v>40</v>
      </c>
      <c r="C30" s="1" t="s">
        <v>36</v>
      </c>
      <c r="D30" s="1" t="str">
        <f t="shared" si="6"/>
        <v>0.7741 ± 0.0039</v>
      </c>
      <c r="E30" s="1" t="str">
        <f t="shared" si="7"/>
        <v>0.3557 ± 0.0022</v>
      </c>
      <c r="F30" s="1" t="str">
        <f t="shared" si="8"/>
        <v>0.3732 ± 0.0082</v>
      </c>
      <c r="G30" s="1" t="str">
        <f t="shared" si="9"/>
        <v>0.8572 ± 0.0027</v>
      </c>
    </row>
    <row r="31" spans="1:11" x14ac:dyDescent="0.25">
      <c r="A31" s="1" t="s">
        <v>34</v>
      </c>
      <c r="B31" s="1" t="s">
        <v>41</v>
      </c>
      <c r="C31" s="1" t="s">
        <v>38</v>
      </c>
      <c r="D31" s="1" t="str">
        <f t="shared" si="6"/>
        <v>0.7373 ± 0.0024</v>
      </c>
      <c r="E31" s="1" t="str">
        <f t="shared" si="7"/>
        <v>0.2784 ± 0.0014</v>
      </c>
      <c r="F31" s="1" t="str">
        <f t="shared" si="8"/>
        <v>0.2723 ± 0.0048</v>
      </c>
      <c r="G31" s="1" t="str">
        <f t="shared" si="9"/>
        <v>0.8053 ± 0.0028</v>
      </c>
    </row>
    <row r="32" spans="1:11" x14ac:dyDescent="0.25">
      <c r="A32" s="1" t="s">
        <v>34</v>
      </c>
      <c r="B32" s="2" t="s">
        <v>42</v>
      </c>
      <c r="C32" s="2" t="s">
        <v>36</v>
      </c>
      <c r="D32" s="2" t="str">
        <f t="shared" si="6"/>
        <v>0.7619 ± 0.0055</v>
      </c>
      <c r="E32" s="2" t="str">
        <f t="shared" si="7"/>
        <v>0.3814 ± 0.0054</v>
      </c>
      <c r="F32" s="2" t="str">
        <f t="shared" si="8"/>
        <v>0.3642 ± 0.0063</v>
      </c>
      <c r="G32" s="2" t="str">
        <f t="shared" si="9"/>
        <v>0.8549 ± 0.0030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results_tuned_summary_12rows</vt:lpstr>
      <vt:lpstr>CP</vt:lpstr>
      <vt:lpstr>ROBUSTEZ</vt:lpstr>
      <vt:lpstr>fase5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Perla</dc:creator>
  <cp:lastModifiedBy>ALUMNO - MAURICIO MOISES ALBORNOZ ALCAZAR</cp:lastModifiedBy>
  <dcterms:created xsi:type="dcterms:W3CDTF">2026-02-03T23:19:05Z</dcterms:created>
  <dcterms:modified xsi:type="dcterms:W3CDTF">2026-02-08T04:01:36Z</dcterms:modified>
</cp:coreProperties>
</file>