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1_{39D486F4-8D2E-46AE-89F4-1969CFC72119}" xr6:coauthVersionLast="47" xr6:coauthVersionMax="47" xr10:uidLastSave="{00000000-0000-0000-0000-000000000000}"/>
  <bookViews>
    <workbookView xWindow="3555" yWindow="2655" windowWidth="28800" windowHeight="17430" activeTab="2" xr2:uid="{87E6D062-4E8C-4849-8631-72F5D44491CC}"/>
  </bookViews>
  <sheets>
    <sheet name="results_baseline_group_summary" sheetId="1" r:id="rId1"/>
    <sheet name="CP" sheetId="2" r:id="rId2"/>
    <sheet name="C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D15" i="3" s="1"/>
  <c r="D11" i="3"/>
  <c r="C11" i="3"/>
  <c r="C15" i="3" s="1"/>
  <c r="F10" i="3"/>
  <c r="E10" i="3"/>
  <c r="D10" i="3"/>
  <c r="C10" i="3"/>
  <c r="C14" i="3" s="1"/>
  <c r="J11" i="2"/>
  <c r="I11" i="2"/>
  <c r="H11" i="2"/>
  <c r="G11" i="2"/>
  <c r="F11" i="2"/>
  <c r="E11" i="2"/>
  <c r="D15" i="2" s="1"/>
  <c r="D11" i="2"/>
  <c r="C11" i="2"/>
  <c r="J10" i="2"/>
  <c r="I10" i="2"/>
  <c r="H10" i="2"/>
  <c r="G10" i="2"/>
  <c r="F10" i="2"/>
  <c r="E10" i="2"/>
  <c r="D10" i="2"/>
  <c r="C10" i="2"/>
  <c r="F15" i="2"/>
  <c r="E15" i="2"/>
  <c r="C15" i="2"/>
  <c r="D14" i="2"/>
  <c r="C14" i="2"/>
  <c r="F16" i="1"/>
  <c r="E16" i="1"/>
  <c r="D16" i="1"/>
  <c r="C16" i="1"/>
  <c r="F15" i="1"/>
  <c r="E15" i="1"/>
  <c r="D15" i="1"/>
  <c r="C15" i="1"/>
  <c r="J11" i="1"/>
  <c r="I11" i="1"/>
  <c r="H11" i="1"/>
  <c r="G11" i="1"/>
  <c r="F11" i="1"/>
  <c r="E11" i="1"/>
  <c r="D11" i="1"/>
  <c r="C11" i="1"/>
  <c r="J10" i="1"/>
  <c r="I10" i="1"/>
  <c r="H10" i="1"/>
  <c r="G10" i="1"/>
  <c r="F10" i="1"/>
  <c r="E10" i="1"/>
  <c r="D10" i="1"/>
  <c r="C10" i="1"/>
  <c r="D14" i="3" l="1"/>
  <c r="E14" i="2"/>
  <c r="F14" i="2"/>
</calcChain>
</file>

<file path=xl/sharedStrings.xml><?xml version="1.0" encoding="utf-8"?>
<sst xmlns="http://schemas.openxmlformats.org/spreadsheetml/2006/main" count="178" uniqueCount="33">
  <si>
    <t>group</t>
  </si>
  <si>
    <t>balanced_accuracy_mean</t>
  </si>
  <si>
    <t>balanced_accuracy_std</t>
  </si>
  <si>
    <t>balanced_accuracy_median</t>
  </si>
  <si>
    <t>precision_mean</t>
  </si>
  <si>
    <t>precision_std</t>
  </si>
  <si>
    <t>precision_median</t>
  </si>
  <si>
    <t>recall_mean</t>
  </si>
  <si>
    <t>recall_std</t>
  </si>
  <si>
    <t>recall_median</t>
  </si>
  <si>
    <t>f1_mean</t>
  </si>
  <si>
    <t>f1_std</t>
  </si>
  <si>
    <t>f1_median</t>
  </si>
  <si>
    <t>roc_auc_mean</t>
  </si>
  <si>
    <t>roc_auc_std</t>
  </si>
  <si>
    <t>roc_auc_median</t>
  </si>
  <si>
    <t>average_precision_mean</t>
  </si>
  <si>
    <t>average_precision_std</t>
  </si>
  <si>
    <t>average_precision_median</t>
  </si>
  <si>
    <t>n_seeds</t>
  </si>
  <si>
    <t>Baseline</t>
  </si>
  <si>
    <t>Ensemble</t>
  </si>
  <si>
    <t>No Ensemble</t>
  </si>
  <si>
    <t xml:space="preserve"> </t>
  </si>
  <si>
    <t>Grupo</t>
  </si>
  <si>
    <t>BA (mean ± std)</t>
  </si>
  <si>
    <t>F1 (mean ± std)</t>
  </si>
  <si>
    <t>AP (mean ± std)</t>
  </si>
  <si>
    <t>ROC AUC (mean ± std)</t>
  </si>
  <si>
    <t>config</t>
  </si>
  <si>
    <t>Precision (mean ± std)</t>
  </si>
  <si>
    <t>Recall (mean ± std)</t>
  </si>
  <si>
    <t>Configuración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</si>
</sst>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1C67-EAF0-46EA-ABE2-6FEFFC42135E}">
  <dimension ref="A1:U16"/>
  <sheetViews>
    <sheetView zoomScale="130" zoomScaleNormal="130" workbookViewId="0">
      <selection activeCell="C1" sqref="A1:XFD3"/>
    </sheetView>
  </sheetViews>
  <sheetFormatPr baseColWidth="10" defaultColWidth="10.28515625" defaultRowHeight="15" x14ac:dyDescent="0.25"/>
  <cols>
    <col min="1" max="1" width="8.5703125" bestFit="1" customWidth="1"/>
    <col min="2" max="2" width="12.5703125" bestFit="1" customWidth="1"/>
    <col min="3" max="3" width="16.85546875" customWidth="1"/>
    <col min="4" max="4" width="15.85546875" customWidth="1"/>
    <col min="5" max="5" width="16.140625" customWidth="1"/>
    <col min="6" max="6" width="20.42578125" customWidth="1"/>
    <col min="7" max="7" width="23.140625" bestFit="1" customWidth="1"/>
    <col min="8" max="8" width="20.7109375" bestFit="1" customWidth="1"/>
    <col min="9" max="9" width="13.85546875" bestFit="1" customWidth="1"/>
    <col min="10" max="10" width="11.5703125" bestFit="1" customWidth="1"/>
    <col min="11" max="11" width="13.5703125" bestFit="1" customWidth="1"/>
    <col min="12" max="12" width="8.42578125" bestFit="1" customWidth="1"/>
    <col min="13" max="13" width="7" bestFit="1" customWidth="1"/>
    <col min="14" max="14" width="10.140625" bestFit="1" customWidth="1"/>
    <col min="15" max="15" width="13.85546875" bestFit="1" customWidth="1"/>
    <col min="16" max="16" width="11.570312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20</v>
      </c>
      <c r="B2" s="1" t="s">
        <v>21</v>
      </c>
      <c r="C2" s="1">
        <v>0.67459385733216304</v>
      </c>
      <c r="D2" s="1">
        <v>2.4491572020635699E-3</v>
      </c>
      <c r="E2" s="1">
        <v>0.67449991424404998</v>
      </c>
      <c r="F2" s="1">
        <v>0.36200995763605098</v>
      </c>
      <c r="G2" s="1">
        <v>3.6140167056943001E-3</v>
      </c>
      <c r="H2" s="1">
        <v>0.36098352791506</v>
      </c>
      <c r="I2" s="1">
        <v>0.39952349290780098</v>
      </c>
      <c r="J2" s="1">
        <v>5.5247626043908697E-3</v>
      </c>
      <c r="K2" s="1">
        <v>0.39943484042553101</v>
      </c>
      <c r="L2" s="1">
        <v>0.379257519807079</v>
      </c>
      <c r="M2" s="1">
        <v>3.3037252706078499E-3</v>
      </c>
      <c r="N2" s="1">
        <v>0.38025398792627102</v>
      </c>
      <c r="O2" s="1">
        <v>0.83331471923075695</v>
      </c>
      <c r="P2" s="1">
        <v>1.99240831791142E-3</v>
      </c>
      <c r="Q2" s="1">
        <v>0.832916339883086</v>
      </c>
      <c r="R2" s="1">
        <v>0.31411133897020999</v>
      </c>
      <c r="S2" s="1">
        <v>5.1236319287814597E-3</v>
      </c>
      <c r="T2" s="1">
        <v>0.31366999381233801</v>
      </c>
      <c r="U2" s="1">
        <v>10</v>
      </c>
    </row>
    <row r="3" spans="1:21" x14ac:dyDescent="0.25">
      <c r="A3" s="1" t="s">
        <v>20</v>
      </c>
      <c r="B3" s="1" t="s">
        <v>22</v>
      </c>
      <c r="C3" s="1">
        <v>0.70468542260329203</v>
      </c>
      <c r="D3" s="1">
        <v>2.0702557355681802E-3</v>
      </c>
      <c r="E3" s="1">
        <v>0.70508691012911595</v>
      </c>
      <c r="F3" s="1">
        <v>0.190457342395291</v>
      </c>
      <c r="G3" s="1">
        <v>1.58298207150771E-3</v>
      </c>
      <c r="H3" s="1">
        <v>0.191211903627935</v>
      </c>
      <c r="I3" s="1">
        <v>0.60166223404255303</v>
      </c>
      <c r="J3" s="1">
        <v>4.5068644972331698E-3</v>
      </c>
      <c r="K3" s="1">
        <v>0.60289228723404198</v>
      </c>
      <c r="L3" s="1">
        <v>0.27869942216213101</v>
      </c>
      <c r="M3" s="1">
        <v>2.0676628684206302E-3</v>
      </c>
      <c r="N3" s="1">
        <v>0.27952674637544001</v>
      </c>
      <c r="O3" s="1">
        <v>0.75249218543104701</v>
      </c>
      <c r="P3" s="1">
        <v>2.20810539178124E-3</v>
      </c>
      <c r="Q3" s="1">
        <v>0.752803527609615</v>
      </c>
      <c r="R3" s="1">
        <v>0.234323970513095</v>
      </c>
      <c r="S3" s="1">
        <v>3.7912955540016298E-3</v>
      </c>
      <c r="T3" s="1">
        <v>0.23433357866641499</v>
      </c>
      <c r="U3" s="1">
        <v>10</v>
      </c>
    </row>
    <row r="5" spans="1:21" x14ac:dyDescent="0.25">
      <c r="A5" s="1" t="s">
        <v>23</v>
      </c>
      <c r="B5" s="1" t="s">
        <v>24</v>
      </c>
      <c r="C5" s="1" t="s">
        <v>1</v>
      </c>
      <c r="D5" s="1" t="s">
        <v>2</v>
      </c>
      <c r="E5" s="1" t="s">
        <v>10</v>
      </c>
      <c r="F5" s="1" t="s">
        <v>11</v>
      </c>
      <c r="G5" s="1" t="s">
        <v>16</v>
      </c>
      <c r="H5" s="1" t="s">
        <v>17</v>
      </c>
      <c r="I5" s="1" t="s">
        <v>13</v>
      </c>
      <c r="J5" s="1" t="s">
        <v>14</v>
      </c>
    </row>
    <row r="6" spans="1:21" x14ac:dyDescent="0.25">
      <c r="A6" s="1" t="s">
        <v>20</v>
      </c>
      <c r="B6" s="1" t="s">
        <v>21</v>
      </c>
      <c r="C6" s="1">
        <v>0.67459385733216304</v>
      </c>
      <c r="D6" s="1">
        <v>2.4491572020635699E-3</v>
      </c>
      <c r="E6" s="1">
        <v>0.379257519807079</v>
      </c>
      <c r="F6" s="1">
        <v>3.3037252706078499E-3</v>
      </c>
      <c r="G6" s="1">
        <v>0.31411133897020999</v>
      </c>
      <c r="H6" s="1">
        <v>5.1236319287814597E-3</v>
      </c>
      <c r="I6" s="1">
        <v>0.83331471923075695</v>
      </c>
      <c r="J6" s="1">
        <v>1.99240831791142E-3</v>
      </c>
    </row>
    <row r="7" spans="1:21" x14ac:dyDescent="0.25">
      <c r="A7" s="1" t="s">
        <v>20</v>
      </c>
      <c r="B7" s="1" t="s">
        <v>22</v>
      </c>
      <c r="C7" s="1">
        <v>0.70468542260329203</v>
      </c>
      <c r="D7" s="1">
        <v>2.0702557355681802E-3</v>
      </c>
      <c r="E7" s="1">
        <v>0.27869942216213101</v>
      </c>
      <c r="F7" s="1">
        <v>2.0676628684206302E-3</v>
      </c>
      <c r="G7" s="1">
        <v>0.234323970513095</v>
      </c>
      <c r="H7" s="1">
        <v>3.7912955540016298E-3</v>
      </c>
      <c r="I7" s="1">
        <v>0.75249218543104701</v>
      </c>
      <c r="J7" s="1">
        <v>2.20810539178124E-3</v>
      </c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1" x14ac:dyDescent="0.25">
      <c r="A9" s="1" t="s">
        <v>23</v>
      </c>
      <c r="B9" s="1" t="s">
        <v>24</v>
      </c>
      <c r="C9" s="1" t="s">
        <v>1</v>
      </c>
      <c r="D9" s="1" t="s">
        <v>2</v>
      </c>
      <c r="E9" s="1" t="s">
        <v>10</v>
      </c>
      <c r="F9" s="1" t="s">
        <v>11</v>
      </c>
      <c r="G9" s="1" t="s">
        <v>16</v>
      </c>
      <c r="H9" s="1" t="s">
        <v>17</v>
      </c>
      <c r="I9" s="1" t="s">
        <v>13</v>
      </c>
      <c r="J9" s="1" t="s">
        <v>14</v>
      </c>
    </row>
    <row r="10" spans="1:21" x14ac:dyDescent="0.25">
      <c r="A10" s="1" t="s">
        <v>20</v>
      </c>
      <c r="B10" s="1" t="s">
        <v>21</v>
      </c>
      <c r="C10" t="str">
        <f>+FIXED(C6,4)</f>
        <v>0.6746</v>
      </c>
      <c r="D10" t="str">
        <f t="shared" ref="D10:J10" si="0">+FIXED(D6,4)</f>
        <v>0.0024</v>
      </c>
      <c r="E10" t="str">
        <f t="shared" si="0"/>
        <v>0.3793</v>
      </c>
      <c r="F10" t="str">
        <f t="shared" si="0"/>
        <v>0.0033</v>
      </c>
      <c r="G10" t="str">
        <f t="shared" si="0"/>
        <v>0.3141</v>
      </c>
      <c r="H10" t="str">
        <f t="shared" si="0"/>
        <v>0.0051</v>
      </c>
      <c r="I10" t="str">
        <f t="shared" si="0"/>
        <v>0.8333</v>
      </c>
      <c r="J10" t="str">
        <f t="shared" si="0"/>
        <v>0.0020</v>
      </c>
    </row>
    <row r="11" spans="1:21" x14ac:dyDescent="0.25">
      <c r="A11" s="1" t="s">
        <v>20</v>
      </c>
      <c r="B11" s="1" t="s">
        <v>22</v>
      </c>
      <c r="C11" t="str">
        <f t="shared" ref="C11:J11" si="1">+FIXED(C7,4)</f>
        <v>0.7047</v>
      </c>
      <c r="D11" t="str">
        <f t="shared" si="1"/>
        <v>0.0021</v>
      </c>
      <c r="E11" t="str">
        <f t="shared" si="1"/>
        <v>0.2787</v>
      </c>
      <c r="F11" t="str">
        <f t="shared" si="1"/>
        <v>0.0021</v>
      </c>
      <c r="G11" t="str">
        <f t="shared" si="1"/>
        <v>0.2343</v>
      </c>
      <c r="H11" t="str">
        <f t="shared" si="1"/>
        <v>0.0038</v>
      </c>
      <c r="I11" t="str">
        <f t="shared" si="1"/>
        <v>0.7525</v>
      </c>
      <c r="J11" t="str">
        <f t="shared" si="1"/>
        <v>0.0022</v>
      </c>
    </row>
    <row r="14" spans="1:21" ht="25.5" x14ac:dyDescent="0.25">
      <c r="A14" s="1"/>
      <c r="B14" s="2" t="s">
        <v>24</v>
      </c>
      <c r="C14" s="2" t="s">
        <v>25</v>
      </c>
      <c r="D14" s="2" t="s">
        <v>26</v>
      </c>
      <c r="E14" s="2" t="s">
        <v>27</v>
      </c>
      <c r="F14" s="3" t="s">
        <v>28</v>
      </c>
    </row>
    <row r="15" spans="1:21" x14ac:dyDescent="0.25">
      <c r="A15" s="1" t="s">
        <v>20</v>
      </c>
      <c r="B15" s="4" t="s">
        <v>21</v>
      </c>
      <c r="C15" s="4" t="str">
        <f>+_xlfn.CONCAT(C10," ± ",D10)</f>
        <v>0.6746 ± 0.0024</v>
      </c>
      <c r="D15" s="4" t="str">
        <f>+_xlfn.CONCAT(E10," ± ",F10)</f>
        <v>0.3793 ± 0.0033</v>
      </c>
      <c r="E15" s="4" t="str">
        <f>+_xlfn.CONCAT(G10," ± ",H10)</f>
        <v>0.3141 ± 0.0051</v>
      </c>
      <c r="F15" s="4" t="str">
        <f>+_xlfn.CONCAT(I10," ± ",J10)</f>
        <v>0.8333 ± 0.0020</v>
      </c>
    </row>
    <row r="16" spans="1:21" x14ac:dyDescent="0.25">
      <c r="A16" s="1" t="s">
        <v>20</v>
      </c>
      <c r="B16" s="4" t="s">
        <v>22</v>
      </c>
      <c r="C16" s="4" t="str">
        <f>+_xlfn.CONCAT(C11," ± ",D11)</f>
        <v>0.7047 ± 0.0021</v>
      </c>
      <c r="D16" s="4" t="str">
        <f>+_xlfn.CONCAT(E11," ± ",F11)</f>
        <v>0.2787 ± 0.0021</v>
      </c>
      <c r="E16" s="4" t="str">
        <f>+_xlfn.CONCAT(G11," ± ",H11)</f>
        <v>0.2343 ± 0.0038</v>
      </c>
      <c r="F16" s="4" t="str">
        <f>+_xlfn.CONCAT(I11," ± ",J11)</f>
        <v>0.7525 ± 0.0022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9768-0BE3-4EE8-BC69-3E125A92FF9B}">
  <dimension ref="A1:U15"/>
  <sheetViews>
    <sheetView zoomScale="130" zoomScaleNormal="130" workbookViewId="0">
      <selection activeCell="B5" sqref="A5:XFD15"/>
    </sheetView>
  </sheetViews>
  <sheetFormatPr baseColWidth="10" defaultRowHeight="15" x14ac:dyDescent="0.25"/>
  <cols>
    <col min="1" max="1" width="8.5703125" bestFit="1" customWidth="1"/>
    <col min="2" max="2" width="12.5703125" bestFit="1" customWidth="1"/>
    <col min="3" max="3" width="16.28515625" customWidth="1"/>
    <col min="4" max="4" width="19.28515625" customWidth="1"/>
    <col min="5" max="5" width="18.42578125" customWidth="1"/>
    <col min="6" max="6" width="14.85546875" customWidth="1"/>
    <col min="7" max="7" width="12.85546875" bestFit="1" customWidth="1"/>
    <col min="8" max="8" width="17" bestFit="1" customWidth="1"/>
    <col min="9" max="9" width="11.85546875" bestFit="1" customWidth="1"/>
    <col min="10" max="10" width="9.5703125" bestFit="1" customWidth="1"/>
    <col min="11" max="11" width="13.5703125" bestFit="1" customWidth="1"/>
    <col min="12" max="12" width="8.42578125" bestFit="1" customWidth="1"/>
    <col min="13" max="13" width="7" bestFit="1" customWidth="1"/>
    <col min="14" max="14" width="10.140625" bestFit="1" customWidth="1"/>
    <col min="15" max="15" width="13.85546875" bestFit="1" customWidth="1"/>
    <col min="16" max="16" width="11.570312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20</v>
      </c>
      <c r="B2" s="1" t="s">
        <v>21</v>
      </c>
      <c r="C2" s="1">
        <v>0.67459385733216304</v>
      </c>
      <c r="D2" s="1">
        <v>2.4491572020635699E-3</v>
      </c>
      <c r="E2" s="1">
        <v>0.67449991424404998</v>
      </c>
      <c r="F2" s="1">
        <v>0.36200995763605098</v>
      </c>
      <c r="G2" s="1">
        <v>3.6140167056943001E-3</v>
      </c>
      <c r="H2" s="1">
        <v>0.36098352791506</v>
      </c>
      <c r="I2" s="1">
        <v>0.39952349290780098</v>
      </c>
      <c r="J2" s="1">
        <v>5.5247626043908697E-3</v>
      </c>
      <c r="K2" s="1">
        <v>0.39943484042553101</v>
      </c>
      <c r="L2" s="1">
        <v>0.379257519807079</v>
      </c>
      <c r="M2" s="1">
        <v>3.3037252706078499E-3</v>
      </c>
      <c r="N2" s="1">
        <v>0.38025398792627102</v>
      </c>
      <c r="O2" s="1">
        <v>0.83331471923075695</v>
      </c>
      <c r="P2" s="1">
        <v>1.99240831791142E-3</v>
      </c>
      <c r="Q2" s="1">
        <v>0.832916339883086</v>
      </c>
      <c r="R2" s="1">
        <v>0.31411133897020999</v>
      </c>
      <c r="S2" s="1">
        <v>5.1236319287814597E-3</v>
      </c>
      <c r="T2" s="1">
        <v>0.31366999381233801</v>
      </c>
      <c r="U2" s="1">
        <v>10</v>
      </c>
    </row>
    <row r="3" spans="1:21" x14ac:dyDescent="0.25">
      <c r="A3" s="1" t="s">
        <v>20</v>
      </c>
      <c r="B3" s="1" t="s">
        <v>22</v>
      </c>
      <c r="C3" s="1">
        <v>0.70468542260329203</v>
      </c>
      <c r="D3" s="1">
        <v>2.0702557355681802E-3</v>
      </c>
      <c r="E3" s="1">
        <v>0.70508691012911595</v>
      </c>
      <c r="F3" s="1">
        <v>0.190457342395291</v>
      </c>
      <c r="G3" s="1">
        <v>1.58298207150771E-3</v>
      </c>
      <c r="H3" s="1">
        <v>0.191211903627935</v>
      </c>
      <c r="I3" s="1">
        <v>0.60166223404255303</v>
      </c>
      <c r="J3" s="1">
        <v>4.5068644972331698E-3</v>
      </c>
      <c r="K3" s="1">
        <v>0.60289228723404198</v>
      </c>
      <c r="L3" s="1">
        <v>0.27869942216213101</v>
      </c>
      <c r="M3" s="1">
        <v>2.0676628684206302E-3</v>
      </c>
      <c r="N3" s="1">
        <v>0.27952674637544001</v>
      </c>
      <c r="O3" s="1">
        <v>0.75249218543104701</v>
      </c>
      <c r="P3" s="1">
        <v>2.20810539178124E-3</v>
      </c>
      <c r="Q3" s="1">
        <v>0.752803527609615</v>
      </c>
      <c r="R3" s="1">
        <v>0.234323970513095</v>
      </c>
      <c r="S3" s="1">
        <v>3.7912955540016298E-3</v>
      </c>
      <c r="T3" s="1">
        <v>0.23433357866641499</v>
      </c>
      <c r="U3" s="1">
        <v>10</v>
      </c>
    </row>
    <row r="5" spans="1:21" x14ac:dyDescent="0.25">
      <c r="A5" s="1" t="s">
        <v>23</v>
      </c>
      <c r="B5" s="1" t="s">
        <v>0</v>
      </c>
      <c r="C5" s="1" t="s">
        <v>1</v>
      </c>
      <c r="D5" s="1" t="s">
        <v>2</v>
      </c>
      <c r="E5" s="1" t="s">
        <v>4</v>
      </c>
      <c r="F5" s="1" t="s">
        <v>5</v>
      </c>
      <c r="G5" s="1" t="s">
        <v>7</v>
      </c>
      <c r="H5" s="1" t="s">
        <v>8</v>
      </c>
      <c r="I5" s="1" t="s">
        <v>10</v>
      </c>
      <c r="J5" s="1" t="s">
        <v>11</v>
      </c>
    </row>
    <row r="6" spans="1:21" x14ac:dyDescent="0.25">
      <c r="A6" s="1" t="s">
        <v>20</v>
      </c>
      <c r="B6" s="1" t="s">
        <v>21</v>
      </c>
      <c r="C6" s="1">
        <v>0.67459385733216304</v>
      </c>
      <c r="D6" s="1">
        <v>2.4491572020635699E-3</v>
      </c>
      <c r="E6" s="1">
        <v>0.36200995763605098</v>
      </c>
      <c r="F6" s="1">
        <v>3.6140167056943001E-3</v>
      </c>
      <c r="G6" s="1">
        <v>0.39952349290780098</v>
      </c>
      <c r="H6" s="1">
        <v>5.5247626043908697E-3</v>
      </c>
      <c r="I6" s="1">
        <v>0.379257519807079</v>
      </c>
      <c r="J6" s="1">
        <v>3.3037252706078499E-3</v>
      </c>
    </row>
    <row r="7" spans="1:21" x14ac:dyDescent="0.25">
      <c r="A7" s="1" t="s">
        <v>20</v>
      </c>
      <c r="B7" s="1" t="s">
        <v>22</v>
      </c>
      <c r="C7" s="1">
        <v>0.70468542260329203</v>
      </c>
      <c r="D7" s="1">
        <v>2.0702557355681802E-3</v>
      </c>
      <c r="E7" s="1">
        <v>0.190457342395291</v>
      </c>
      <c r="F7" s="1">
        <v>1.58298207150771E-3</v>
      </c>
      <c r="G7" s="1">
        <v>0.60166223404255303</v>
      </c>
      <c r="H7" s="1">
        <v>4.5068644972331698E-3</v>
      </c>
      <c r="I7" s="1">
        <v>0.27869942216213101</v>
      </c>
      <c r="J7" s="1">
        <v>2.0676628684206302E-3</v>
      </c>
    </row>
    <row r="9" spans="1:21" x14ac:dyDescent="0.25">
      <c r="A9" s="1" t="s">
        <v>23</v>
      </c>
      <c r="B9" s="1" t="s">
        <v>0</v>
      </c>
      <c r="C9" s="1" t="s">
        <v>1</v>
      </c>
      <c r="D9" s="1" t="s">
        <v>2</v>
      </c>
      <c r="E9" s="1" t="s">
        <v>4</v>
      </c>
      <c r="F9" s="1" t="s">
        <v>5</v>
      </c>
      <c r="G9" s="1" t="s">
        <v>7</v>
      </c>
      <c r="H9" s="1" t="s">
        <v>8</v>
      </c>
      <c r="I9" s="1" t="s">
        <v>10</v>
      </c>
      <c r="J9" s="1" t="s">
        <v>11</v>
      </c>
    </row>
    <row r="10" spans="1:21" x14ac:dyDescent="0.25">
      <c r="A10" t="s">
        <v>20</v>
      </c>
      <c r="B10" t="s">
        <v>21</v>
      </c>
      <c r="C10" t="str">
        <f>+FIXED(C6,4)</f>
        <v>0.6746</v>
      </c>
      <c r="D10" t="str">
        <f t="shared" ref="D10:J10" si="0">+FIXED(D6,4)</f>
        <v>0.0024</v>
      </c>
      <c r="E10" t="str">
        <f t="shared" si="0"/>
        <v>0.3620</v>
      </c>
      <c r="F10" t="str">
        <f t="shared" si="0"/>
        <v>0.0036</v>
      </c>
      <c r="G10" t="str">
        <f t="shared" si="0"/>
        <v>0.3995</v>
      </c>
      <c r="H10" t="str">
        <f t="shared" si="0"/>
        <v>0.0055</v>
      </c>
      <c r="I10" t="str">
        <f t="shared" si="0"/>
        <v>0.3793</v>
      </c>
      <c r="J10" t="str">
        <f t="shared" si="0"/>
        <v>0.0033</v>
      </c>
    </row>
    <row r="11" spans="1:21" x14ac:dyDescent="0.25">
      <c r="A11" t="s">
        <v>20</v>
      </c>
      <c r="B11" t="s">
        <v>22</v>
      </c>
      <c r="C11" t="str">
        <f t="shared" ref="C11:J11" si="1">+FIXED(C7,4)</f>
        <v>0.7047</v>
      </c>
      <c r="D11" t="str">
        <f t="shared" si="1"/>
        <v>0.0021</v>
      </c>
      <c r="E11" t="str">
        <f t="shared" si="1"/>
        <v>0.1905</v>
      </c>
      <c r="F11" t="str">
        <f t="shared" si="1"/>
        <v>0.0016</v>
      </c>
      <c r="G11" t="str">
        <f t="shared" si="1"/>
        <v>0.6017</v>
      </c>
      <c r="H11" t="str">
        <f t="shared" si="1"/>
        <v>0.0045</v>
      </c>
      <c r="I11" t="str">
        <f t="shared" si="1"/>
        <v>0.2787</v>
      </c>
      <c r="J11" t="str">
        <f t="shared" si="1"/>
        <v>0.0021</v>
      </c>
    </row>
    <row r="13" spans="1:21" ht="28.5" customHeight="1" x14ac:dyDescent="0.25">
      <c r="A13" s="5" t="s">
        <v>29</v>
      </c>
      <c r="B13" s="7" t="s">
        <v>32</v>
      </c>
      <c r="C13" s="7" t="s">
        <v>25</v>
      </c>
      <c r="D13" s="7" t="s">
        <v>30</v>
      </c>
      <c r="E13" s="7" t="s">
        <v>31</v>
      </c>
      <c r="F13" s="7" t="s">
        <v>26</v>
      </c>
    </row>
    <row r="14" spans="1:21" x14ac:dyDescent="0.25">
      <c r="A14" s="4" t="s">
        <v>20</v>
      </c>
      <c r="B14" s="8" t="s">
        <v>21</v>
      </c>
      <c r="C14" s="8" t="str">
        <f>+_xlfn.CONCAT(C10," ± ",D10)</f>
        <v>0.6746 ± 0.0024</v>
      </c>
      <c r="D14" s="8" t="str">
        <f>+_xlfn.CONCAT(E10," ± ",F10)</f>
        <v>0.3620 ± 0.0036</v>
      </c>
      <c r="E14" s="8" t="str">
        <f>+_xlfn.CONCAT(G10," ± ",H10)</f>
        <v>0.3995 ± 0.0055</v>
      </c>
      <c r="F14" s="8" t="str">
        <f>+_xlfn.CONCAT(I10," ± ",J10)</f>
        <v>0.3793 ± 0.0033</v>
      </c>
    </row>
    <row r="15" spans="1:21" x14ac:dyDescent="0.25">
      <c r="A15" s="6" t="s">
        <v>20</v>
      </c>
      <c r="B15" s="9" t="s">
        <v>22</v>
      </c>
      <c r="C15" s="9" t="str">
        <f>+_xlfn.CONCAT(C11," ± ",D11)</f>
        <v>0.7047 ± 0.0021</v>
      </c>
      <c r="D15" s="9" t="str">
        <f>+_xlfn.CONCAT(E11," ± ",F11)</f>
        <v>0.1905 ± 0.0016</v>
      </c>
      <c r="E15" s="9" t="str">
        <f>+_xlfn.CONCAT(G11," ± ",H11)</f>
        <v>0.6017 ± 0.0045</v>
      </c>
      <c r="F15" s="9" t="str">
        <f>+_xlfn.CONCAT(I11," ± ",J11)</f>
        <v>0.2787 ± 0.0021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9ED7-FB7E-48F5-9847-07E230B583C3}">
  <dimension ref="A1:U15"/>
  <sheetViews>
    <sheetView tabSelected="1" zoomScale="160" zoomScaleNormal="160" workbookViewId="0">
      <selection activeCell="E12" sqref="E12"/>
    </sheetView>
  </sheetViews>
  <sheetFormatPr baseColWidth="10" defaultRowHeight="15" x14ac:dyDescent="0.25"/>
  <cols>
    <col min="1" max="1" width="8.5703125" bestFit="1" customWidth="1"/>
    <col min="2" max="2" width="12.5703125" bestFit="1" customWidth="1"/>
    <col min="3" max="3" width="24.28515625" bestFit="1" customWidth="1"/>
    <col min="4" max="4" width="22" bestFit="1" customWidth="1"/>
    <col min="5" max="5" width="26" bestFit="1" customWidth="1"/>
    <col min="6" max="6" width="20.7109375" bestFit="1" customWidth="1"/>
    <col min="7" max="7" width="12.85546875" bestFit="1" customWidth="1"/>
    <col min="8" max="8" width="17" bestFit="1" customWidth="1"/>
    <col min="9" max="9" width="11.85546875" bestFit="1" customWidth="1"/>
    <col min="10" max="10" width="9.5703125" bestFit="1" customWidth="1"/>
    <col min="11" max="11" width="13.5703125" bestFit="1" customWidth="1"/>
    <col min="12" max="12" width="8.42578125" bestFit="1" customWidth="1"/>
    <col min="13" max="13" width="6.7109375" bestFit="1" customWidth="1"/>
    <col min="14" max="14" width="10.140625" bestFit="1" customWidth="1"/>
    <col min="15" max="15" width="13.85546875" bestFit="1" customWidth="1"/>
    <col min="16" max="16" width="11.570312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20</v>
      </c>
      <c r="B2" s="1" t="s">
        <v>21</v>
      </c>
      <c r="C2" s="1">
        <v>0.67459385733216304</v>
      </c>
      <c r="D2" s="1">
        <v>2.4491572020635699E-3</v>
      </c>
      <c r="E2" s="1">
        <v>0.67449991424404998</v>
      </c>
      <c r="F2" s="1">
        <v>0.36200995763605098</v>
      </c>
      <c r="G2" s="1">
        <v>3.6140167056943001E-3</v>
      </c>
      <c r="H2" s="1">
        <v>0.36098352791506</v>
      </c>
      <c r="I2" s="1">
        <v>0.39952349290780098</v>
      </c>
      <c r="J2" s="1">
        <v>5.5247626043908697E-3</v>
      </c>
      <c r="K2" s="1">
        <v>0.39943484042553101</v>
      </c>
      <c r="L2" s="1">
        <v>0.379257519807079</v>
      </c>
      <c r="M2" s="1">
        <v>3.3037252706078499E-3</v>
      </c>
      <c r="N2" s="1">
        <v>0.38025398792627102</v>
      </c>
      <c r="O2" s="1">
        <v>0.83331471923075695</v>
      </c>
      <c r="P2" s="1">
        <v>1.99240831791142E-3</v>
      </c>
      <c r="Q2" s="1">
        <v>0.832916339883086</v>
      </c>
      <c r="R2" s="1">
        <v>0.31411133897020999</v>
      </c>
      <c r="S2" s="1">
        <v>5.1236319287814597E-3</v>
      </c>
      <c r="T2" s="1">
        <v>0.31366999381233801</v>
      </c>
      <c r="U2" s="1">
        <v>10</v>
      </c>
    </row>
    <row r="3" spans="1:21" x14ac:dyDescent="0.25">
      <c r="A3" s="1" t="s">
        <v>20</v>
      </c>
      <c r="B3" s="1" t="s">
        <v>22</v>
      </c>
      <c r="C3" s="1">
        <v>0.70468542260329203</v>
      </c>
      <c r="D3" s="1">
        <v>2.0702557355681802E-3</v>
      </c>
      <c r="E3" s="1">
        <v>0.70508691012911595</v>
      </c>
      <c r="F3" s="1">
        <v>0.190457342395291</v>
      </c>
      <c r="G3" s="1">
        <v>1.58298207150771E-3</v>
      </c>
      <c r="H3" s="1">
        <v>0.191211903627935</v>
      </c>
      <c r="I3" s="1">
        <v>0.60166223404255303</v>
      </c>
      <c r="J3" s="1">
        <v>4.5068644972331698E-3</v>
      </c>
      <c r="K3" s="1">
        <v>0.60289228723404198</v>
      </c>
      <c r="L3" s="1">
        <v>0.27869942216213101</v>
      </c>
      <c r="M3" s="1">
        <v>2.0676628684206302E-3</v>
      </c>
      <c r="N3" s="1">
        <v>0.27952674637544001</v>
      </c>
      <c r="O3" s="1">
        <v>0.75249218543104701</v>
      </c>
      <c r="P3" s="1">
        <v>2.20810539178124E-3</v>
      </c>
      <c r="Q3" s="1">
        <v>0.752803527609615</v>
      </c>
      <c r="R3" s="1">
        <v>0.234323970513095</v>
      </c>
      <c r="S3" s="1">
        <v>3.7912955540016298E-3</v>
      </c>
      <c r="T3" s="1">
        <v>0.23433357866641499</v>
      </c>
      <c r="U3" s="1">
        <v>10</v>
      </c>
    </row>
    <row r="5" spans="1:21" x14ac:dyDescent="0.25">
      <c r="A5" s="1" t="s">
        <v>23</v>
      </c>
      <c r="B5" s="1" t="s">
        <v>0</v>
      </c>
      <c r="C5" s="1" t="s">
        <v>13</v>
      </c>
      <c r="D5" s="1" t="s">
        <v>14</v>
      </c>
      <c r="E5" s="1" t="s">
        <v>16</v>
      </c>
      <c r="F5" s="1" t="s">
        <v>17</v>
      </c>
      <c r="G5" s="1"/>
      <c r="H5" s="1"/>
      <c r="I5" s="1"/>
      <c r="J5" s="1"/>
    </row>
    <row r="6" spans="1:21" x14ac:dyDescent="0.25">
      <c r="A6" s="1" t="s">
        <v>20</v>
      </c>
      <c r="B6" s="1" t="s">
        <v>21</v>
      </c>
      <c r="C6" s="1">
        <v>0.83331471923075695</v>
      </c>
      <c r="D6" s="1">
        <v>1.99240831791142E-3</v>
      </c>
      <c r="E6" s="1">
        <v>0.31411133897020999</v>
      </c>
      <c r="F6" s="1">
        <v>5.1236319287814597E-3</v>
      </c>
      <c r="G6" s="1"/>
      <c r="H6" s="1"/>
      <c r="I6" s="1"/>
      <c r="J6" s="1"/>
    </row>
    <row r="7" spans="1:21" x14ac:dyDescent="0.25">
      <c r="A7" s="1" t="s">
        <v>20</v>
      </c>
      <c r="B7" s="1" t="s">
        <v>22</v>
      </c>
      <c r="C7" s="1">
        <v>0.75249218543104701</v>
      </c>
      <c r="D7" s="1">
        <v>2.20810539178124E-3</v>
      </c>
      <c r="E7" s="1">
        <v>0.234323970513095</v>
      </c>
      <c r="F7" s="1">
        <v>3.7912955540016298E-3</v>
      </c>
      <c r="G7" s="1"/>
      <c r="H7" s="1"/>
      <c r="I7" s="1"/>
      <c r="J7" s="1"/>
    </row>
    <row r="9" spans="1:21" x14ac:dyDescent="0.25">
      <c r="A9" s="1" t="s">
        <v>23</v>
      </c>
      <c r="B9" s="1" t="s">
        <v>0</v>
      </c>
      <c r="C9" s="1" t="s">
        <v>13</v>
      </c>
      <c r="D9" s="1" t="s">
        <v>14</v>
      </c>
      <c r="E9" s="1" t="s">
        <v>16</v>
      </c>
      <c r="F9" s="1" t="s">
        <v>17</v>
      </c>
      <c r="G9" s="1"/>
      <c r="H9" s="1"/>
      <c r="I9" s="1"/>
      <c r="J9" s="1"/>
    </row>
    <row r="10" spans="1:21" x14ac:dyDescent="0.25">
      <c r="A10" t="s">
        <v>20</v>
      </c>
      <c r="B10" t="s">
        <v>21</v>
      </c>
      <c r="C10" t="str">
        <f>+FIXED(C6,4)</f>
        <v>0.8333</v>
      </c>
      <c r="D10" t="str">
        <f t="shared" ref="D10:J10" si="0">+FIXED(D6,4)</f>
        <v>0.0020</v>
      </c>
      <c r="E10" t="str">
        <f t="shared" si="0"/>
        <v>0.3141</v>
      </c>
      <c r="F10" t="str">
        <f t="shared" si="0"/>
        <v>0.0051</v>
      </c>
    </row>
    <row r="11" spans="1:21" x14ac:dyDescent="0.25">
      <c r="A11" t="s">
        <v>20</v>
      </c>
      <c r="B11" t="s">
        <v>22</v>
      </c>
      <c r="C11" t="str">
        <f t="shared" ref="C11:J11" si="1">+FIXED(C7,4)</f>
        <v>0.7525</v>
      </c>
      <c r="D11" t="str">
        <f t="shared" si="1"/>
        <v>0.0022</v>
      </c>
      <c r="E11" t="str">
        <f t="shared" si="1"/>
        <v>0.2343</v>
      </c>
      <c r="F11" t="str">
        <f t="shared" si="1"/>
        <v>0.0038</v>
      </c>
    </row>
    <row r="13" spans="1:21" ht="18" customHeight="1" x14ac:dyDescent="0.25">
      <c r="A13" s="5" t="s">
        <v>29</v>
      </c>
      <c r="B13" s="7" t="s">
        <v>32</v>
      </c>
      <c r="C13" s="7" t="s">
        <v>28</v>
      </c>
      <c r="D13" s="7" t="s">
        <v>27</v>
      </c>
    </row>
    <row r="14" spans="1:21" ht="18" customHeight="1" x14ac:dyDescent="0.25">
      <c r="A14" s="4" t="s">
        <v>20</v>
      </c>
      <c r="B14" s="8" t="s">
        <v>21</v>
      </c>
      <c r="C14" s="8" t="str">
        <f>+_xlfn.CONCAT(C10," ± ",D10)</f>
        <v>0.8333 ± 0.0020</v>
      </c>
      <c r="D14" s="8" t="str">
        <f>+_xlfn.CONCAT(E10," ± ",F10)</f>
        <v>0.3141 ± 0.0051</v>
      </c>
    </row>
    <row r="15" spans="1:21" ht="18" customHeight="1" x14ac:dyDescent="0.25">
      <c r="A15" s="6" t="s">
        <v>20</v>
      </c>
      <c r="B15" s="9" t="s">
        <v>22</v>
      </c>
      <c r="C15" s="9" t="str">
        <f>+_xlfn.CONCAT(C11," ± ",D11)</f>
        <v>0.7525 ± 0.0022</v>
      </c>
      <c r="D15" s="9" t="str">
        <f>+_xlfn.CONCAT(E11," ± ",F11)</f>
        <v>0.2343 ± 0.0038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results_baseline_group_summary</vt:lpstr>
      <vt:lpstr>CP</vt:lpstr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2026-02-07T05:52:19Z</dcterms:created>
  <dcterms:modified xsi:type="dcterms:W3CDTF">2026-02-08T03:12:40Z</dcterms:modified>
</cp:coreProperties>
</file>